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ITA\"/>
    </mc:Choice>
  </mc:AlternateContent>
  <xr:revisionPtr revIDLastSave="0" documentId="8_{E965C90D-86EE-4A07-AFCD-417C031BAA6F}" xr6:coauthVersionLast="47" xr6:coauthVersionMax="47" xr10:uidLastSave="{00000000-0000-0000-0000-000000000000}"/>
  <bookViews>
    <workbookView xWindow="-108" yWindow="-108" windowWidth="23256" windowHeight="12576" activeTab="1" xr2:uid="{67663E80-4DBB-402D-905E-B4D589012706}"/>
  </bookViews>
  <sheets>
    <sheet name="HHS_Unaccompanied_Alien_Childre" sheetId="1" r:id="rId1"/>
    <sheet name="Clean_Data" sheetId="2" r:id="rId2"/>
  </sheets>
  <externalReferences>
    <externalReference r:id="rId3"/>
    <externalReference r:id="rId4"/>
    <externalReference r:id="rId5"/>
  </externalReferences>
  <calcPr calcId="191029"/>
</workbook>
</file>

<file path=xl/calcChain.xml><?xml version="1.0" encoding="utf-8"?>
<calcChain xmlns="http://schemas.openxmlformats.org/spreadsheetml/2006/main">
  <c r="M17" i="2" l="1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L16" i="2"/>
  <c r="K16" i="2"/>
  <c r="J16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2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3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2" i="2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3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G721" i="1"/>
  <c r="J2" i="1" l="1"/>
  <c r="I2" i="1"/>
</calcChain>
</file>

<file path=xl/sharedStrings.xml><?xml version="1.0" encoding="utf-8"?>
<sst xmlns="http://schemas.openxmlformats.org/spreadsheetml/2006/main" count="743" uniqueCount="742">
  <si>
    <t>Date</t>
  </si>
  <si>
    <t>Children apprehended and placed in CBP custody*</t>
  </si>
  <si>
    <t>Children in CBP custody</t>
  </si>
  <si>
    <t>Children transferred out of CBP custody</t>
  </si>
  <si>
    <t>Children in HHS Care</t>
  </si>
  <si>
    <t>Children discharged from HHS Care</t>
  </si>
  <si>
    <t>December 21, 2025</t>
  </si>
  <si>
    <t>December 18, 2025</t>
  </si>
  <si>
    <t>December 17, 2025</t>
  </si>
  <si>
    <t>December 16, 2025</t>
  </si>
  <si>
    <t>December 15, 2025</t>
  </si>
  <si>
    <t>December 14, 2025</t>
  </si>
  <si>
    <t>December 11, 2025</t>
  </si>
  <si>
    <t>December 10, 2025</t>
  </si>
  <si>
    <t>December 09, 2025</t>
  </si>
  <si>
    <t>December 08, 2025</t>
  </si>
  <si>
    <t>December 07, 2025</t>
  </si>
  <si>
    <t>December 04, 2025</t>
  </si>
  <si>
    <t>December 03, 2025</t>
  </si>
  <si>
    <t>December 02, 2025</t>
  </si>
  <si>
    <t>December 01, 2025</t>
  </si>
  <si>
    <t>November 30, 2025</t>
  </si>
  <si>
    <t>November 27, 2025</t>
  </si>
  <si>
    <t>November 25, 2025</t>
  </si>
  <si>
    <t>November 24, 2025</t>
  </si>
  <si>
    <t>November 23, 2025</t>
  </si>
  <si>
    <t>November 20, 2025</t>
  </si>
  <si>
    <t>November 19, 2025</t>
  </si>
  <si>
    <t>November 18, 2025</t>
  </si>
  <si>
    <t>November 17, 2025</t>
  </si>
  <si>
    <t>November 16, 2025</t>
  </si>
  <si>
    <t>November 13, 2025</t>
  </si>
  <si>
    <t>November 12, 2025</t>
  </si>
  <si>
    <t>November 11, 2025</t>
  </si>
  <si>
    <t>November 09, 2025</t>
  </si>
  <si>
    <t>November 06, 2025</t>
  </si>
  <si>
    <t>November 05, 2025</t>
  </si>
  <si>
    <t>November 04, 2025</t>
  </si>
  <si>
    <t>November 03, 2025</t>
  </si>
  <si>
    <t>November 02, 2025</t>
  </si>
  <si>
    <t>October 30, 2025</t>
  </si>
  <si>
    <t>October 29, 2025</t>
  </si>
  <si>
    <t>October 28, 2025</t>
  </si>
  <si>
    <t>October 27, 2025</t>
  </si>
  <si>
    <t>October 26, 2025</t>
  </si>
  <si>
    <t>October 23, 2025</t>
  </si>
  <si>
    <t>October 22, 2025</t>
  </si>
  <si>
    <t>October 21, 2025</t>
  </si>
  <si>
    <t>October 20, 2025</t>
  </si>
  <si>
    <t>October 19, 2025</t>
  </si>
  <si>
    <t>October 16, 2025</t>
  </si>
  <si>
    <t>October 15, 2025</t>
  </si>
  <si>
    <t>October 14, 2025</t>
  </si>
  <si>
    <t>October 13, 2025</t>
  </si>
  <si>
    <t>October 09, 2025</t>
  </si>
  <si>
    <t>October 08, 2025</t>
  </si>
  <si>
    <t>October 07, 2025</t>
  </si>
  <si>
    <t>October 06, 2025</t>
  </si>
  <si>
    <t>October 05, 2025</t>
  </si>
  <si>
    <t>October 02, 2025</t>
  </si>
  <si>
    <t>October 01, 2025</t>
  </si>
  <si>
    <t>September 30, 2025</t>
  </si>
  <si>
    <t>September 29, 2025</t>
  </si>
  <si>
    <t>September 28, 2025</t>
  </si>
  <si>
    <t>September 25, 2025</t>
  </si>
  <si>
    <t>September 24, 2025</t>
  </si>
  <si>
    <t>September 23, 2025</t>
  </si>
  <si>
    <t>September 22, 2025</t>
  </si>
  <si>
    <t>September 21, 2025</t>
  </si>
  <si>
    <t>September 18, 2025</t>
  </si>
  <si>
    <t>September 17, 2025</t>
  </si>
  <si>
    <t>September 16, 2025</t>
  </si>
  <si>
    <t>September 15, 2025</t>
  </si>
  <si>
    <t>September 14, 2025</t>
  </si>
  <si>
    <t>September 11, 2025</t>
  </si>
  <si>
    <t>September 10, 2025</t>
  </si>
  <si>
    <t>September 09, 2025</t>
  </si>
  <si>
    <t>September 08, 2025</t>
  </si>
  <si>
    <t>September 07, 2025</t>
  </si>
  <si>
    <t>September 04, 2025</t>
  </si>
  <si>
    <t>September 03, 2025</t>
  </si>
  <si>
    <t>September 02, 2025</t>
  </si>
  <si>
    <t>September 01, 2025</t>
  </si>
  <si>
    <t>August 28, 2025</t>
  </si>
  <si>
    <t>August 27, 2025</t>
  </si>
  <si>
    <t>August 26, 2025</t>
  </si>
  <si>
    <t>August 25, 2025</t>
  </si>
  <si>
    <t>August 24, 2025</t>
  </si>
  <si>
    <t>August 21, 2025</t>
  </si>
  <si>
    <t>August 20, 2025</t>
  </si>
  <si>
    <t>August 19, 2025</t>
  </si>
  <si>
    <t>August 18, 2025</t>
  </si>
  <si>
    <t>August 17, 2025</t>
  </si>
  <si>
    <t>August 14, 2025</t>
  </si>
  <si>
    <t>August 13, 2025</t>
  </si>
  <si>
    <t>August 12, 2025</t>
  </si>
  <si>
    <t>August 11, 2025</t>
  </si>
  <si>
    <t>August 10, 2025</t>
  </si>
  <si>
    <t>August 07, 2025</t>
  </si>
  <si>
    <t>August 06, 2025</t>
  </si>
  <si>
    <t>August 05, 2025</t>
  </si>
  <si>
    <t>August 04, 2025</t>
  </si>
  <si>
    <t>August 03, 2025</t>
  </si>
  <si>
    <t>July 31, 2025</t>
  </si>
  <si>
    <t>July 30, 2025</t>
  </si>
  <si>
    <t>July 29, 2025</t>
  </si>
  <si>
    <t>July 28, 2025</t>
  </si>
  <si>
    <t>July 27, 2025</t>
  </si>
  <si>
    <t>July 24, 2025</t>
  </si>
  <si>
    <t>July 23, 2025</t>
  </si>
  <si>
    <t>July 22, 2025</t>
  </si>
  <si>
    <t>July 21, 2025</t>
  </si>
  <si>
    <t>July 17, 2025</t>
  </si>
  <si>
    <t>July 16, 2025</t>
  </si>
  <si>
    <t>July 15, 2025</t>
  </si>
  <si>
    <t>July 14, 2025</t>
  </si>
  <si>
    <t>July 13, 2025</t>
  </si>
  <si>
    <t>July 10, 2025</t>
  </si>
  <si>
    <t>July 09, 2025</t>
  </si>
  <si>
    <t>July 08, 2025</t>
  </si>
  <si>
    <t>July 07, 2025</t>
  </si>
  <si>
    <t>July 06, 2025</t>
  </si>
  <si>
    <t>July 02, 2025</t>
  </si>
  <si>
    <t>July 01, 2025</t>
  </si>
  <si>
    <t>June 30, 2025</t>
  </si>
  <si>
    <t>June 29, 2025</t>
  </si>
  <si>
    <t>June 26, 2025</t>
  </si>
  <si>
    <t>June 25, 2025</t>
  </si>
  <si>
    <t>June 24, 2025</t>
  </si>
  <si>
    <t>June 23, 2025</t>
  </si>
  <si>
    <t>June 22, 2025</t>
  </si>
  <si>
    <t>June 19, 2025</t>
  </si>
  <si>
    <t>June 17, 2025</t>
  </si>
  <si>
    <t>June 10, 2025</t>
  </si>
  <si>
    <t>June 09, 2025</t>
  </si>
  <si>
    <t>June 08, 2025</t>
  </si>
  <si>
    <t>June 05, 2025</t>
  </si>
  <si>
    <t>June 04, 2025</t>
  </si>
  <si>
    <t>June 03, 2025</t>
  </si>
  <si>
    <t>June 02, 2025</t>
  </si>
  <si>
    <t>June 01, 2025</t>
  </si>
  <si>
    <t>May 29, 2025</t>
  </si>
  <si>
    <t>May 28, 2025</t>
  </si>
  <si>
    <t>May 27, 2025</t>
  </si>
  <si>
    <t>May 22, 2025</t>
  </si>
  <si>
    <t>May 21, 2025</t>
  </si>
  <si>
    <t>May 19, 2025</t>
  </si>
  <si>
    <t>May 18, 2025</t>
  </si>
  <si>
    <t>May 15, 2025</t>
  </si>
  <si>
    <t>May 14, 2025</t>
  </si>
  <si>
    <t>May 13, 2025</t>
  </si>
  <si>
    <t>May 12, 2025</t>
  </si>
  <si>
    <t>May 11, 2025</t>
  </si>
  <si>
    <t>May 08, 2025</t>
  </si>
  <si>
    <t>May 07, 2025</t>
  </si>
  <si>
    <t>May 06, 2025</t>
  </si>
  <si>
    <t>May 05, 2025</t>
  </si>
  <si>
    <t>May 04, 2025</t>
  </si>
  <si>
    <t>May 01, 2025</t>
  </si>
  <si>
    <t>April 30, 2025</t>
  </si>
  <si>
    <t>April 29, 2025</t>
  </si>
  <si>
    <t>April 28, 2025</t>
  </si>
  <si>
    <t>April 27, 2025</t>
  </si>
  <si>
    <t>April 24, 2025</t>
  </si>
  <si>
    <t>April 23, 2025</t>
  </si>
  <si>
    <t>April 22, 2025</t>
  </si>
  <si>
    <t>April 21, 2025</t>
  </si>
  <si>
    <t>April 20, 2025</t>
  </si>
  <si>
    <t>April 17, 2025</t>
  </si>
  <si>
    <t>April 16, 2025</t>
  </si>
  <si>
    <t>April 15, 2025</t>
  </si>
  <si>
    <t>April 14, 2025</t>
  </si>
  <si>
    <t>April 13, 2025</t>
  </si>
  <si>
    <t>April 11, 2025</t>
  </si>
  <si>
    <t>April 10, 2025</t>
  </si>
  <si>
    <t>April 09, 2025</t>
  </si>
  <si>
    <t>April 08, 2025</t>
  </si>
  <si>
    <t>April 07, 2025</t>
  </si>
  <si>
    <t>April 06, 2025</t>
  </si>
  <si>
    <t>April 03, 2025</t>
  </si>
  <si>
    <t>April 02, 2025</t>
  </si>
  <si>
    <t>April 01, 2025</t>
  </si>
  <si>
    <t>March 31, 2025</t>
  </si>
  <si>
    <t>March 30, 2025</t>
  </si>
  <si>
    <t>March 27, 2025</t>
  </si>
  <si>
    <t>March 26, 2025</t>
  </si>
  <si>
    <t>March 25, 2025</t>
  </si>
  <si>
    <t>March 24, 2025</t>
  </si>
  <si>
    <t>March 23, 2025</t>
  </si>
  <si>
    <t>March 20, 2025</t>
  </si>
  <si>
    <t>March 19, 2025</t>
  </si>
  <si>
    <t>March 18, 2025</t>
  </si>
  <si>
    <t>March 17, 2025</t>
  </si>
  <si>
    <t>March 16, 2025</t>
  </si>
  <si>
    <t>March 13, 2025</t>
  </si>
  <si>
    <t>March 12, 2025</t>
  </si>
  <si>
    <t>March 11, 2025</t>
  </si>
  <si>
    <t>March 10, 2025</t>
  </si>
  <si>
    <t>March 09, 2025</t>
  </si>
  <si>
    <t>March 06, 2025</t>
  </si>
  <si>
    <t>March 05, 2025</t>
  </si>
  <si>
    <t>March 04, 2025</t>
  </si>
  <si>
    <t>March 03, 2025</t>
  </si>
  <si>
    <t>March 02, 2025</t>
  </si>
  <si>
    <t>February 27, 2025</t>
  </si>
  <si>
    <t>February 26, 2025</t>
  </si>
  <si>
    <t>February 25, 2025</t>
  </si>
  <si>
    <t>February 24, 2025</t>
  </si>
  <si>
    <t>February 23, 2025</t>
  </si>
  <si>
    <t>February 20, 2025</t>
  </si>
  <si>
    <t>February 19, 2025</t>
  </si>
  <si>
    <t>February 18, 2025</t>
  </si>
  <si>
    <t>February 17, 2025</t>
  </si>
  <si>
    <t>February 13, 2025</t>
  </si>
  <si>
    <t>February 12, 2025</t>
  </si>
  <si>
    <t>February 11, 2025</t>
  </si>
  <si>
    <t>February 10, 2025</t>
  </si>
  <si>
    <t>February 09, 2025</t>
  </si>
  <si>
    <t>February 06, 2025</t>
  </si>
  <si>
    <t>February 05, 2025</t>
  </si>
  <si>
    <t>February 04, 2025</t>
  </si>
  <si>
    <t>February 03, 2025</t>
  </si>
  <si>
    <t>February 02, 2025</t>
  </si>
  <si>
    <t>January 30, 2025</t>
  </si>
  <si>
    <t>January 29, 2025</t>
  </si>
  <si>
    <t>January 28, 2025</t>
  </si>
  <si>
    <t>January 27, 2025</t>
  </si>
  <si>
    <t>January 26, 2025</t>
  </si>
  <si>
    <t>January 23, 2025</t>
  </si>
  <si>
    <t>January 22, 2025</t>
  </si>
  <si>
    <t>January 21, 2025</t>
  </si>
  <si>
    <t>January 20, 2025</t>
  </si>
  <si>
    <t>January 19, 2025</t>
  </si>
  <si>
    <t>January 16, 2025</t>
  </si>
  <si>
    <t>January 15, 2025</t>
  </si>
  <si>
    <t>January 14, 2025</t>
  </si>
  <si>
    <t>January 13, 2025</t>
  </si>
  <si>
    <t>January 12, 2025</t>
  </si>
  <si>
    <t>January 09, 2025</t>
  </si>
  <si>
    <t>January 08, 2025</t>
  </si>
  <si>
    <t>January 07, 2025</t>
  </si>
  <si>
    <t>January 06, 2025</t>
  </si>
  <si>
    <t>January 05, 2025</t>
  </si>
  <si>
    <t>January 02, 2025</t>
  </si>
  <si>
    <t>January 01, 2025</t>
  </si>
  <si>
    <t>December 30, 2024</t>
  </si>
  <si>
    <t>December 29, 2024</t>
  </si>
  <si>
    <t>December 26, 2024</t>
  </si>
  <si>
    <t>December 25, 2024</t>
  </si>
  <si>
    <t>December 24, 2024</t>
  </si>
  <si>
    <t>December 23, 2024</t>
  </si>
  <si>
    <t>December 22, 2024</t>
  </si>
  <si>
    <t>December 19, 2024</t>
  </si>
  <si>
    <t>December 18, 2024</t>
  </si>
  <si>
    <t>December 17, 2024</t>
  </si>
  <si>
    <t>December 16, 2024</t>
  </si>
  <si>
    <t>December 15, 2024</t>
  </si>
  <si>
    <t>December 12, 2024</t>
  </si>
  <si>
    <t>December 11, 2024</t>
  </si>
  <si>
    <t>December 10, 2024</t>
  </si>
  <si>
    <t>December 09, 2024</t>
  </si>
  <si>
    <t>December 08, 2024</t>
  </si>
  <si>
    <t>December 05, 2024</t>
  </si>
  <si>
    <t>December 04, 2024</t>
  </si>
  <si>
    <t>December 03, 2024</t>
  </si>
  <si>
    <t>December 02, 2024</t>
  </si>
  <si>
    <t>December 01, 2024</t>
  </si>
  <si>
    <t>November 28, 2024</t>
  </si>
  <si>
    <t>November 27, 2024</t>
  </si>
  <si>
    <t>November 26, 2024</t>
  </si>
  <si>
    <t>November 25, 2024</t>
  </si>
  <si>
    <t>November 24, 2024</t>
  </si>
  <si>
    <t>November 21, 2024</t>
  </si>
  <si>
    <t>November 20, 2024</t>
  </si>
  <si>
    <t>November 19, 2024</t>
  </si>
  <si>
    <t>November 18, 2024</t>
  </si>
  <si>
    <t>November 17, 2024</t>
  </si>
  <si>
    <t>November 14, 2024</t>
  </si>
  <si>
    <t>November 13, 2024</t>
  </si>
  <si>
    <t>November 12, 2024</t>
  </si>
  <si>
    <t>November 11, 2024</t>
  </si>
  <si>
    <t>November 07, 2024</t>
  </si>
  <si>
    <t>November 06, 2024</t>
  </si>
  <si>
    <t>November 05, 2024</t>
  </si>
  <si>
    <t>November 04, 2024</t>
  </si>
  <si>
    <t>November 03, 2024</t>
  </si>
  <si>
    <t>October 31, 2024</t>
  </si>
  <si>
    <t>October 30, 2024</t>
  </si>
  <si>
    <t>October 29, 2024</t>
  </si>
  <si>
    <t>October 28, 2024</t>
  </si>
  <si>
    <t>October 27, 2024</t>
  </si>
  <si>
    <t>October 23, 2024</t>
  </si>
  <si>
    <t>October 22, 2024</t>
  </si>
  <si>
    <t>October 21, 2024</t>
  </si>
  <si>
    <t>October 20, 2024</t>
  </si>
  <si>
    <t>October 17, 2024</t>
  </si>
  <si>
    <t>October 16, 2024</t>
  </si>
  <si>
    <t>October 15, 2024</t>
  </si>
  <si>
    <t>October 14, 2024</t>
  </si>
  <si>
    <t>October 13, 2024</t>
  </si>
  <si>
    <t>October 10, 2024</t>
  </si>
  <si>
    <t>October 09, 2024</t>
  </si>
  <si>
    <t>October 08, 2024</t>
  </si>
  <si>
    <t>October 07, 2024</t>
  </si>
  <si>
    <t>October 03, 2024</t>
  </si>
  <si>
    <t>October 02, 2024</t>
  </si>
  <si>
    <t>October 01, 2024</t>
  </si>
  <si>
    <t>September 30, 2024</t>
  </si>
  <si>
    <t>September 29, 2024</t>
  </si>
  <si>
    <t>September 26, 2024</t>
  </si>
  <si>
    <t>September 25, 2024</t>
  </si>
  <si>
    <t>September 24, 2024</t>
  </si>
  <si>
    <t>September 23, 2024</t>
  </si>
  <si>
    <t>September 22, 2024</t>
  </si>
  <si>
    <t>September 19, 2024</t>
  </si>
  <si>
    <t>September 18, 2024</t>
  </si>
  <si>
    <t>September 17, 2024</t>
  </si>
  <si>
    <t>September 16, 2024</t>
  </si>
  <si>
    <t>September 15, 2024</t>
  </si>
  <si>
    <t>September 13, 2024</t>
  </si>
  <si>
    <t>September 12, 2024</t>
  </si>
  <si>
    <t>September 11, 2024</t>
  </si>
  <si>
    <t>September 10, 2024</t>
  </si>
  <si>
    <t>September 09, 2024</t>
  </si>
  <si>
    <t>September 08, 2024</t>
  </si>
  <si>
    <t>September 05, 2024</t>
  </si>
  <si>
    <t>September 04, 2024</t>
  </si>
  <si>
    <t>September 03, 2024</t>
  </si>
  <si>
    <t>September 02, 2024</t>
  </si>
  <si>
    <t>August 29, 2024</t>
  </si>
  <si>
    <t>August 28, 2024</t>
  </si>
  <si>
    <t>August 27, 2024</t>
  </si>
  <si>
    <t>August 22, 2024</t>
  </si>
  <si>
    <t>August 21, 2024</t>
  </si>
  <si>
    <t>August 20, 2024</t>
  </si>
  <si>
    <t>August 19, 2024</t>
  </si>
  <si>
    <t>August 18, 2024</t>
  </si>
  <si>
    <t>August 15, 2024</t>
  </si>
  <si>
    <t>August 14, 2024</t>
  </si>
  <si>
    <t>August 13, 2024</t>
  </si>
  <si>
    <t>August 12, 2024</t>
  </si>
  <si>
    <t>August 11, 2024</t>
  </si>
  <si>
    <t>August 08, 2024</t>
  </si>
  <si>
    <t>August 07, 2024</t>
  </si>
  <si>
    <t>August 06, 2024</t>
  </si>
  <si>
    <t>August 05, 2024</t>
  </si>
  <si>
    <t>August 04, 2024</t>
  </si>
  <si>
    <t>August 01, 2024</t>
  </si>
  <si>
    <t>July 31, 2024</t>
  </si>
  <si>
    <t>July 30, 2024</t>
  </si>
  <si>
    <t>July 29, 2024</t>
  </si>
  <si>
    <t>July 28, 2024</t>
  </si>
  <si>
    <t>July 25, 2024</t>
  </si>
  <si>
    <t>July 24, 2024</t>
  </si>
  <si>
    <t>July 23, 2024</t>
  </si>
  <si>
    <t>July 22, 2024</t>
  </si>
  <si>
    <t>July 21, 2024</t>
  </si>
  <si>
    <t>July 17, 2024</t>
  </si>
  <si>
    <t>July 16, 2024</t>
  </si>
  <si>
    <t>July 15, 2024</t>
  </si>
  <si>
    <t>July 14, 2024</t>
  </si>
  <si>
    <t>July 11, 2024</t>
  </si>
  <si>
    <t>July 10, 2024</t>
  </si>
  <si>
    <t>July 09, 2024</t>
  </si>
  <si>
    <t>July 08, 2024</t>
  </si>
  <si>
    <t>July 07, 2024</t>
  </si>
  <si>
    <t>July 04, 2024</t>
  </si>
  <si>
    <t>July 02, 2024</t>
  </si>
  <si>
    <t>July 01, 2024</t>
  </si>
  <si>
    <t>June 30, 2024</t>
  </si>
  <si>
    <t>June 27, 2024</t>
  </si>
  <si>
    <t>June 26, 2024</t>
  </si>
  <si>
    <t>June 25, 2024</t>
  </si>
  <si>
    <t>June 24, 2024</t>
  </si>
  <si>
    <t>June 23, 2024</t>
  </si>
  <si>
    <t>June 20, 2024</t>
  </si>
  <si>
    <t>June 19, 2024</t>
  </si>
  <si>
    <t>June 18, 2024</t>
  </si>
  <si>
    <t>June 17, 2024</t>
  </si>
  <si>
    <t>June 16, 2024</t>
  </si>
  <si>
    <t>June 13, 2024</t>
  </si>
  <si>
    <t>June 12, 2024</t>
  </si>
  <si>
    <t>June 11, 2024</t>
  </si>
  <si>
    <t>June 10, 2024</t>
  </si>
  <si>
    <t>June 09, 2024</t>
  </si>
  <si>
    <t>June 06, 2024</t>
  </si>
  <si>
    <t>June 05, 2024</t>
  </si>
  <si>
    <t>June 04, 2024</t>
  </si>
  <si>
    <t>June 03, 2024</t>
  </si>
  <si>
    <t>June 02, 2024</t>
  </si>
  <si>
    <t>May 30, 2024</t>
  </si>
  <si>
    <t>May 29, 2024</t>
  </si>
  <si>
    <t>May 28, 2024</t>
  </si>
  <si>
    <t>May 27, 2024</t>
  </si>
  <si>
    <t>May 23, 2024</t>
  </si>
  <si>
    <t>May 22, 2024</t>
  </si>
  <si>
    <t>May 21, 2024</t>
  </si>
  <si>
    <t>May 20, 2024</t>
  </si>
  <si>
    <t>May 19, 2024</t>
  </si>
  <si>
    <t>May 16, 2024</t>
  </si>
  <si>
    <t>May 15, 2024</t>
  </si>
  <si>
    <t>May 14, 2024</t>
  </si>
  <si>
    <t>May 13, 2024</t>
  </si>
  <si>
    <t>May 12, 2024</t>
  </si>
  <si>
    <t>May 09, 2024</t>
  </si>
  <si>
    <t>May 08, 2024</t>
  </si>
  <si>
    <t>May 07, 2024</t>
  </si>
  <si>
    <t>May 06, 2024</t>
  </si>
  <si>
    <t>May 05, 2024</t>
  </si>
  <si>
    <t>May 02, 2024</t>
  </si>
  <si>
    <t>May 01, 2024</t>
  </si>
  <si>
    <t>April 30, 2024</t>
  </si>
  <si>
    <t>April 29, 2024</t>
  </si>
  <si>
    <t>April 28, 2024</t>
  </si>
  <si>
    <t>April 25, 2024</t>
  </si>
  <si>
    <t>April 24, 2024</t>
  </si>
  <si>
    <t>April 23, 2024</t>
  </si>
  <si>
    <t>April 22, 2024</t>
  </si>
  <si>
    <t>April 21, 2024</t>
  </si>
  <si>
    <t>April 18, 2024</t>
  </si>
  <si>
    <t>April 17, 2024</t>
  </si>
  <si>
    <t>April 16, 2024</t>
  </si>
  <si>
    <t>April 15, 2024</t>
  </si>
  <si>
    <t>April 14, 2024</t>
  </si>
  <si>
    <t>April 11, 2024</t>
  </si>
  <si>
    <t>April 10, 2024</t>
  </si>
  <si>
    <t>April 09, 2024</t>
  </si>
  <si>
    <t>April 08, 2024</t>
  </si>
  <si>
    <t>April 07, 2024</t>
  </si>
  <si>
    <t>April 04, 2024</t>
  </si>
  <si>
    <t>April 03, 2024</t>
  </si>
  <si>
    <t>April 02, 2024</t>
  </si>
  <si>
    <t>April 01, 2024</t>
  </si>
  <si>
    <t>March 31, 2024</t>
  </si>
  <si>
    <t>March 28, 2024</t>
  </si>
  <si>
    <t>March 27, 2024</t>
  </si>
  <si>
    <t>March 26, 2024</t>
  </si>
  <si>
    <t>March 25, 2024</t>
  </si>
  <si>
    <t>March 24, 2024</t>
  </si>
  <si>
    <t>March 21, 2024</t>
  </si>
  <si>
    <t>March 20, 2024</t>
  </si>
  <si>
    <t>March 19, 2024</t>
  </si>
  <si>
    <t>March 18, 2024</t>
  </si>
  <si>
    <t>March 17, 2024</t>
  </si>
  <si>
    <t>March 14, 2024</t>
  </si>
  <si>
    <t>March 13, 2024</t>
  </si>
  <si>
    <t>March 12, 2024</t>
  </si>
  <si>
    <t>March 11, 2024</t>
  </si>
  <si>
    <t>March 10, 2024</t>
  </si>
  <si>
    <t>March 07, 2024</t>
  </si>
  <si>
    <t>March 06, 2024</t>
  </si>
  <si>
    <t>March 05, 2024</t>
  </si>
  <si>
    <t>March 04, 2024</t>
  </si>
  <si>
    <t>March 03, 2024</t>
  </si>
  <si>
    <t>February 29, 2024</t>
  </si>
  <si>
    <t>February 28, 2024</t>
  </si>
  <si>
    <t>February 27, 2024</t>
  </si>
  <si>
    <t>February 26, 2024</t>
  </si>
  <si>
    <t>February 25, 2024</t>
  </si>
  <si>
    <t>February 22, 2024</t>
  </si>
  <si>
    <t>February 21, 2024</t>
  </si>
  <si>
    <t>February 20, 2024</t>
  </si>
  <si>
    <t>February 19, 2024</t>
  </si>
  <si>
    <t>February 15, 2024</t>
  </si>
  <si>
    <t>February 14, 2024</t>
  </si>
  <si>
    <t>February 13, 2024</t>
  </si>
  <si>
    <t>February 12, 2024</t>
  </si>
  <si>
    <t>February 11, 2024</t>
  </si>
  <si>
    <t>February 08, 2024</t>
  </si>
  <si>
    <t>February 07, 2024</t>
  </si>
  <si>
    <t>February 06, 2024</t>
  </si>
  <si>
    <t>February 05, 2024</t>
  </si>
  <si>
    <t>February 04, 2024</t>
  </si>
  <si>
    <t>February 01, 2024</t>
  </si>
  <si>
    <t>January 31, 2024</t>
  </si>
  <si>
    <t>January 30, 2024</t>
  </si>
  <si>
    <t>January 29, 2024</t>
  </si>
  <si>
    <t>January 28, 2024</t>
  </si>
  <si>
    <t>January 25, 2024</t>
  </si>
  <si>
    <t>January 24, 2024</t>
  </si>
  <si>
    <t>January 23, 2024</t>
  </si>
  <si>
    <t>January 22, 2024</t>
  </si>
  <si>
    <t>January 21, 2024</t>
  </si>
  <si>
    <t>January 18, 2024</t>
  </si>
  <si>
    <t>January 17, 2024</t>
  </si>
  <si>
    <t>January 16, 2024</t>
  </si>
  <si>
    <t>January 15, 2024</t>
  </si>
  <si>
    <t>January 11, 2024</t>
  </si>
  <si>
    <t>January 10, 2024</t>
  </si>
  <si>
    <t>January 09, 2024</t>
  </si>
  <si>
    <t>January 08, 2024</t>
  </si>
  <si>
    <t>January 07, 2024</t>
  </si>
  <si>
    <t>January 04, 2024</t>
  </si>
  <si>
    <t>January 03, 2024</t>
  </si>
  <si>
    <t>January 02, 2024</t>
  </si>
  <si>
    <t>January 01, 2024</t>
  </si>
  <si>
    <t>December 28, 2023</t>
  </si>
  <si>
    <t>December 27, 2023</t>
  </si>
  <si>
    <t>December 26, 2023</t>
  </si>
  <si>
    <t>December 25, 2023</t>
  </si>
  <si>
    <t>December 21, 2023</t>
  </si>
  <si>
    <t>December 20, 2023</t>
  </si>
  <si>
    <t>December 19, 2023</t>
  </si>
  <si>
    <t>December 18, 2023</t>
  </si>
  <si>
    <t>December 17, 2023</t>
  </si>
  <si>
    <t>December 14, 2023</t>
  </si>
  <si>
    <t>December 13, 2023</t>
  </si>
  <si>
    <t>December 12, 2023</t>
  </si>
  <si>
    <t>December 11, 2023</t>
  </si>
  <si>
    <t>December 10, 2023</t>
  </si>
  <si>
    <t>December 07, 2023</t>
  </si>
  <si>
    <t>December 06, 2023</t>
  </si>
  <si>
    <t>December 05, 2023</t>
  </si>
  <si>
    <t>December 04, 2023</t>
  </si>
  <si>
    <t>December 03, 2023</t>
  </si>
  <si>
    <t>November 30, 2023</t>
  </si>
  <si>
    <t>November 29, 2023</t>
  </si>
  <si>
    <t>November 28, 2023</t>
  </si>
  <si>
    <t>November 27, 2023</t>
  </si>
  <si>
    <t>November 26, 2023</t>
  </si>
  <si>
    <t>November 23, 2023</t>
  </si>
  <si>
    <t>November 21, 2023</t>
  </si>
  <si>
    <t>November 20, 2023</t>
  </si>
  <si>
    <t>November 19, 2023</t>
  </si>
  <si>
    <t>November 16, 2023</t>
  </si>
  <si>
    <t>November 15, 2023</t>
  </si>
  <si>
    <t>November 14, 2023</t>
  </si>
  <si>
    <t>November 13, 2023</t>
  </si>
  <si>
    <t>November 12, 2023</t>
  </si>
  <si>
    <t>November 08, 2023</t>
  </si>
  <si>
    <t>November 07, 2023</t>
  </si>
  <si>
    <t>November 06, 2023</t>
  </si>
  <si>
    <t>November 05, 2023</t>
  </si>
  <si>
    <t>November 02, 2023</t>
  </si>
  <si>
    <t>November 01, 2023</t>
  </si>
  <si>
    <t>October 31, 2023</t>
  </si>
  <si>
    <t>October 30, 2023</t>
  </si>
  <si>
    <t>October 29, 2023</t>
  </si>
  <si>
    <t>October 26, 2023</t>
  </si>
  <si>
    <t>October 25, 2023</t>
  </si>
  <si>
    <t>October 24, 2023</t>
  </si>
  <si>
    <t>October 23, 2023</t>
  </si>
  <si>
    <t>October 22, 2023</t>
  </si>
  <si>
    <t>October 19, 2023</t>
  </si>
  <si>
    <t>October 18, 2023</t>
  </si>
  <si>
    <t>October 17, 2023</t>
  </si>
  <si>
    <t>October 16, 2023</t>
  </si>
  <si>
    <t>October 15, 2023</t>
  </si>
  <si>
    <t>October 12, 2023</t>
  </si>
  <si>
    <t>October 11, 2023</t>
  </si>
  <si>
    <t>October 10, 2023</t>
  </si>
  <si>
    <t>October 09, 2023</t>
  </si>
  <si>
    <t>October 05, 2023</t>
  </si>
  <si>
    <t>October 04, 2023</t>
  </si>
  <si>
    <t>October 03, 2023</t>
  </si>
  <si>
    <t>October 02, 2023</t>
  </si>
  <si>
    <t>October 01, 2023</t>
  </si>
  <si>
    <t>September 28, 2023</t>
  </si>
  <si>
    <t>September 27, 2023</t>
  </si>
  <si>
    <t>September 26, 2023</t>
  </si>
  <si>
    <t>September 25, 2023</t>
  </si>
  <si>
    <t>September 24, 2023</t>
  </si>
  <si>
    <t>September 21, 2023</t>
  </si>
  <si>
    <t>September 20, 2023</t>
  </si>
  <si>
    <t>September 19, 2023</t>
  </si>
  <si>
    <t>September 18, 2023</t>
  </si>
  <si>
    <t>September 17, 2023</t>
  </si>
  <si>
    <t>September 14, 2023</t>
  </si>
  <si>
    <t>September 13, 2023</t>
  </si>
  <si>
    <t>September 12, 2023</t>
  </si>
  <si>
    <t>September 11, 2023</t>
  </si>
  <si>
    <t>September 10, 2023</t>
  </si>
  <si>
    <t>September 07, 2023</t>
  </si>
  <si>
    <t>September 06, 2023</t>
  </si>
  <si>
    <t>September 05, 2023</t>
  </si>
  <si>
    <t>September 04, 2023</t>
  </si>
  <si>
    <t>August 31, 2023</t>
  </si>
  <si>
    <t>August 30, 2023</t>
  </si>
  <si>
    <t>August 29, 2023</t>
  </si>
  <si>
    <t>August 28, 2023</t>
  </si>
  <si>
    <t>August 27, 2023</t>
  </si>
  <si>
    <t>August 24, 2023</t>
  </si>
  <si>
    <t>August 23, 2023</t>
  </si>
  <si>
    <t>August 22, 2023</t>
  </si>
  <si>
    <t>August 21, 2023</t>
  </si>
  <si>
    <t>August 20, 2023</t>
  </si>
  <si>
    <t>August 17, 2023</t>
  </si>
  <si>
    <t>August 16, 2023</t>
  </si>
  <si>
    <t>August 10, 2023</t>
  </si>
  <si>
    <t>August 09, 2023</t>
  </si>
  <si>
    <t>August 08, 2023</t>
  </si>
  <si>
    <t>August 07, 2023</t>
  </si>
  <si>
    <t>August 06, 2023</t>
  </si>
  <si>
    <t>August 03, 2023</t>
  </si>
  <si>
    <t>August 02, 2023</t>
  </si>
  <si>
    <t>August 01, 2023</t>
  </si>
  <si>
    <t>July 31, 2023</t>
  </si>
  <si>
    <t>July 30, 2023</t>
  </si>
  <si>
    <t>July 27, 2023</t>
  </si>
  <si>
    <t>July 26, 2023</t>
  </si>
  <si>
    <t>July 25, 2023</t>
  </si>
  <si>
    <t>July 24, 2023</t>
  </si>
  <si>
    <t>July 23, 2023</t>
  </si>
  <si>
    <t>July 20, 2023</t>
  </si>
  <si>
    <t>July 19, 2023</t>
  </si>
  <si>
    <t>July 18, 2023</t>
  </si>
  <si>
    <t>July 17, 2023</t>
  </si>
  <si>
    <t>July 16, 2023</t>
  </si>
  <si>
    <t>July 13, 2023</t>
  </si>
  <si>
    <t>July 12, 2023</t>
  </si>
  <si>
    <t>July 11, 2023</t>
  </si>
  <si>
    <t>July 10, 2023</t>
  </si>
  <si>
    <t>July 09, 2023</t>
  </si>
  <si>
    <t>July 06, 2023</t>
  </si>
  <si>
    <t>July 05, 2023</t>
  </si>
  <si>
    <t>July 04, 2023</t>
  </si>
  <si>
    <t>July 02, 2023</t>
  </si>
  <si>
    <t>June 29, 2023</t>
  </si>
  <si>
    <t>June 28, 2023</t>
  </si>
  <si>
    <t>June 27, 2023</t>
  </si>
  <si>
    <t>June 26, 2023</t>
  </si>
  <si>
    <t>June 25, 2023</t>
  </si>
  <si>
    <t>June 22, 2023</t>
  </si>
  <si>
    <t>June 21, 2023</t>
  </si>
  <si>
    <t>June 20, 2023</t>
  </si>
  <si>
    <t>June 19, 2023</t>
  </si>
  <si>
    <t>June 15, 2023</t>
  </si>
  <si>
    <t>June 14, 2023</t>
  </si>
  <si>
    <t>June 13, 2023</t>
  </si>
  <si>
    <t>June 12, 2023</t>
  </si>
  <si>
    <t>June 11, 2023</t>
  </si>
  <si>
    <t>June 08, 2023</t>
  </si>
  <si>
    <t>June 07, 2023</t>
  </si>
  <si>
    <t>June 06, 2023</t>
  </si>
  <si>
    <t>June 05, 2023</t>
  </si>
  <si>
    <t>June 04, 2023</t>
  </si>
  <si>
    <t>June 01, 2023</t>
  </si>
  <si>
    <t>May 31, 2023</t>
  </si>
  <si>
    <t>May 30, 2023</t>
  </si>
  <si>
    <t>May 29, 2023</t>
  </si>
  <si>
    <t>May 25, 2023</t>
  </si>
  <si>
    <t>May 24, 2023</t>
  </si>
  <si>
    <t>May 23, 2023</t>
  </si>
  <si>
    <t>May 22, 2023</t>
  </si>
  <si>
    <t>May 21, 2023</t>
  </si>
  <si>
    <t>May 18, 2023</t>
  </si>
  <si>
    <t>May 17, 2023</t>
  </si>
  <si>
    <t>May 16, 2023</t>
  </si>
  <si>
    <t>May 15, 2023</t>
  </si>
  <si>
    <t>May 14, 2023</t>
  </si>
  <si>
    <t>May 11, 2023</t>
  </si>
  <si>
    <t>May 10, 2023</t>
  </si>
  <si>
    <t>May 09, 2023</t>
  </si>
  <si>
    <t>May 08, 2023</t>
  </si>
  <si>
    <t>May 07, 2023</t>
  </si>
  <si>
    <t>May 04, 2023</t>
  </si>
  <si>
    <t>May 03, 2023</t>
  </si>
  <si>
    <t>May 02, 2023</t>
  </si>
  <si>
    <t>May 01, 2023</t>
  </si>
  <si>
    <t>April 30, 2023</t>
  </si>
  <si>
    <t>April 27, 2023</t>
  </si>
  <si>
    <t>April 26, 2023</t>
  </si>
  <si>
    <t>April 25, 2023</t>
  </si>
  <si>
    <t>April 24, 2023</t>
  </si>
  <si>
    <t>April 23, 2023</t>
  </si>
  <si>
    <t>April 20, 2023</t>
  </si>
  <si>
    <t>April 19, 2023</t>
  </si>
  <si>
    <t>April 18, 2023</t>
  </si>
  <si>
    <t>April 17, 2023</t>
  </si>
  <si>
    <t>April 16, 2023</t>
  </si>
  <si>
    <t>April 13, 2023</t>
  </si>
  <si>
    <t>April 12, 2023</t>
  </si>
  <si>
    <t>April 11, 2023</t>
  </si>
  <si>
    <t>April 10, 2023</t>
  </si>
  <si>
    <t>April 09, 2023</t>
  </si>
  <si>
    <t>April 06, 2023</t>
  </si>
  <si>
    <t>April 05, 2023</t>
  </si>
  <si>
    <t>April 04, 2023</t>
  </si>
  <si>
    <t>April 03, 2023</t>
  </si>
  <si>
    <t>April 02, 2023</t>
  </si>
  <si>
    <t>March 30, 2023</t>
  </si>
  <si>
    <t>March 29, 2023</t>
  </si>
  <si>
    <t>March 28, 2023</t>
  </si>
  <si>
    <t>March 27, 2023</t>
  </si>
  <si>
    <t>March 26, 2023</t>
  </si>
  <si>
    <t>March 23, 2023</t>
  </si>
  <si>
    <t>March 22, 2023</t>
  </si>
  <si>
    <t>March 21, 2023</t>
  </si>
  <si>
    <t>March 20, 2023</t>
  </si>
  <si>
    <t>March 19, 2023</t>
  </si>
  <si>
    <t>March 16, 2023</t>
  </si>
  <si>
    <t>March 15, 2023</t>
  </si>
  <si>
    <t>March 14, 2023</t>
  </si>
  <si>
    <t>March 13, 2023</t>
  </si>
  <si>
    <t>March 09, 2023</t>
  </si>
  <si>
    <t>March 08, 2023</t>
  </si>
  <si>
    <t>March 07, 2023</t>
  </si>
  <si>
    <t>March 02, 2023</t>
  </si>
  <si>
    <t>March 01, 2023</t>
  </si>
  <si>
    <t>February 28, 2023</t>
  </si>
  <si>
    <t>February 27, 2023</t>
  </si>
  <si>
    <t>February 26, 2023</t>
  </si>
  <si>
    <t>February 23, 2023</t>
  </si>
  <si>
    <t>February 22, 2023</t>
  </si>
  <si>
    <t>February 21, 2023</t>
  </si>
  <si>
    <t>February 20, 2023</t>
  </si>
  <si>
    <t>February 16, 2023</t>
  </si>
  <si>
    <t>February 15, 2023</t>
  </si>
  <si>
    <t>February 14, 2023</t>
  </si>
  <si>
    <t>February 13, 2023</t>
  </si>
  <si>
    <t>February 12, 2023</t>
  </si>
  <si>
    <t>February 09, 2023</t>
  </si>
  <si>
    <t>February 08, 2023</t>
  </si>
  <si>
    <t>February 07, 2023</t>
  </si>
  <si>
    <t>February 06, 2023</t>
  </si>
  <si>
    <t>February 05, 2023</t>
  </si>
  <si>
    <t>February 02, 2023</t>
  </si>
  <si>
    <t>February 01, 2023</t>
  </si>
  <si>
    <t>January 31, 2023</t>
  </si>
  <si>
    <t>January 30, 2023</t>
  </si>
  <si>
    <t>January 29, 2023</t>
  </si>
  <si>
    <t>January 25, 2023</t>
  </si>
  <si>
    <t>January 24, 2023</t>
  </si>
  <si>
    <t>January 23, 2023</t>
  </si>
  <si>
    <t>January 22, 2023</t>
  </si>
  <si>
    <t>January 12, 2023</t>
  </si>
  <si>
    <t>Corrected Date</t>
  </si>
  <si>
    <t>Earliest Date</t>
  </si>
  <si>
    <t>Latest Date</t>
  </si>
  <si>
    <t>Days Between Records</t>
  </si>
  <si>
    <t>Children_Apprehended</t>
  </si>
  <si>
    <t>Children_in_CBP_Custody</t>
  </si>
  <si>
    <t>Transfers_Out</t>
  </si>
  <si>
    <t>Children_in_HHS_Care</t>
  </si>
  <si>
    <t>Children_Discharged</t>
  </si>
  <si>
    <t>Daily_Change</t>
  </si>
  <si>
    <t>Change_Status</t>
  </si>
  <si>
    <t>Net_Flow</t>
  </si>
  <si>
    <t>HHS_Lag_1</t>
  </si>
  <si>
    <t>HHS_Lag_7</t>
  </si>
  <si>
    <t>HHS_Lag_14</t>
  </si>
  <si>
    <t>HHS_Rolling_Avg_7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</si>
</sst>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14" fontId="0" fillId="0" borderId="0" xfId="0" applyNumberFormat="1"/>
    <xf numFmtId="0" fontId="16" fillId="33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</a:t>
            </a:r>
            <a:r>
              <a:rPr lang="en-US" baseline="0"/>
              <a:t> Children in HHS Care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Clean_Data!$E$1</c:f>
              <c:strCache>
                <c:ptCount val="1"/>
                <c:pt idx="0">
                  <c:v>Children_in_HHS_Care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Clean_Data!$A$2:$A$721</c:f>
              <c:numCache>
                <c:formatCode>m/d/yyyy</c:formatCode>
                <c:ptCount val="720"/>
                <c:pt idx="0">
                  <c:v>44938</c:v>
                </c:pt>
                <c:pt idx="1">
                  <c:v>44948</c:v>
                </c:pt>
                <c:pt idx="2">
                  <c:v>44949</c:v>
                </c:pt>
                <c:pt idx="3">
                  <c:v>44950</c:v>
                </c:pt>
                <c:pt idx="4">
                  <c:v>44951</c:v>
                </c:pt>
                <c:pt idx="5">
                  <c:v>44955</c:v>
                </c:pt>
                <c:pt idx="6">
                  <c:v>44956</c:v>
                </c:pt>
                <c:pt idx="7">
                  <c:v>44957</c:v>
                </c:pt>
                <c:pt idx="8">
                  <c:v>44958</c:v>
                </c:pt>
                <c:pt idx="9">
                  <c:v>44959</c:v>
                </c:pt>
                <c:pt idx="10">
                  <c:v>44962</c:v>
                </c:pt>
                <c:pt idx="11">
                  <c:v>44963</c:v>
                </c:pt>
                <c:pt idx="12">
                  <c:v>44964</c:v>
                </c:pt>
                <c:pt idx="13">
                  <c:v>44965</c:v>
                </c:pt>
                <c:pt idx="14">
                  <c:v>44966</c:v>
                </c:pt>
                <c:pt idx="15">
                  <c:v>44969</c:v>
                </c:pt>
                <c:pt idx="16">
                  <c:v>44970</c:v>
                </c:pt>
                <c:pt idx="17">
                  <c:v>44971</c:v>
                </c:pt>
                <c:pt idx="18">
                  <c:v>44972</c:v>
                </c:pt>
                <c:pt idx="19">
                  <c:v>44973</c:v>
                </c:pt>
                <c:pt idx="20">
                  <c:v>44977</c:v>
                </c:pt>
                <c:pt idx="21">
                  <c:v>44978</c:v>
                </c:pt>
                <c:pt idx="22">
                  <c:v>44979</c:v>
                </c:pt>
                <c:pt idx="23">
                  <c:v>44980</c:v>
                </c:pt>
                <c:pt idx="24">
                  <c:v>44983</c:v>
                </c:pt>
                <c:pt idx="25">
                  <c:v>44984</c:v>
                </c:pt>
                <c:pt idx="26">
                  <c:v>44985</c:v>
                </c:pt>
                <c:pt idx="27">
                  <c:v>44986</c:v>
                </c:pt>
                <c:pt idx="28">
                  <c:v>44987</c:v>
                </c:pt>
                <c:pt idx="29">
                  <c:v>44992</c:v>
                </c:pt>
                <c:pt idx="30">
                  <c:v>44993</c:v>
                </c:pt>
                <c:pt idx="31">
                  <c:v>44994</c:v>
                </c:pt>
                <c:pt idx="32">
                  <c:v>44998</c:v>
                </c:pt>
                <c:pt idx="33">
                  <c:v>44999</c:v>
                </c:pt>
                <c:pt idx="34">
                  <c:v>45000</c:v>
                </c:pt>
                <c:pt idx="35">
                  <c:v>45001</c:v>
                </c:pt>
                <c:pt idx="36">
                  <c:v>45004</c:v>
                </c:pt>
                <c:pt idx="37">
                  <c:v>45005</c:v>
                </c:pt>
                <c:pt idx="38">
                  <c:v>45006</c:v>
                </c:pt>
                <c:pt idx="39">
                  <c:v>45007</c:v>
                </c:pt>
                <c:pt idx="40">
                  <c:v>45008</c:v>
                </c:pt>
                <c:pt idx="41">
                  <c:v>45011</c:v>
                </c:pt>
                <c:pt idx="42">
                  <c:v>45012</c:v>
                </c:pt>
                <c:pt idx="43">
                  <c:v>45013</c:v>
                </c:pt>
                <c:pt idx="44">
                  <c:v>45014</c:v>
                </c:pt>
                <c:pt idx="45">
                  <c:v>45015</c:v>
                </c:pt>
                <c:pt idx="46">
                  <c:v>45018</c:v>
                </c:pt>
                <c:pt idx="47">
                  <c:v>45019</c:v>
                </c:pt>
                <c:pt idx="48">
                  <c:v>45020</c:v>
                </c:pt>
                <c:pt idx="49">
                  <c:v>45021</c:v>
                </c:pt>
                <c:pt idx="50">
                  <c:v>45022</c:v>
                </c:pt>
                <c:pt idx="51">
                  <c:v>45025</c:v>
                </c:pt>
                <c:pt idx="52">
                  <c:v>45026</c:v>
                </c:pt>
                <c:pt idx="53">
                  <c:v>45027</c:v>
                </c:pt>
                <c:pt idx="54">
                  <c:v>45028</c:v>
                </c:pt>
                <c:pt idx="55">
                  <c:v>45029</c:v>
                </c:pt>
                <c:pt idx="56">
                  <c:v>45032</c:v>
                </c:pt>
                <c:pt idx="57">
                  <c:v>45033</c:v>
                </c:pt>
                <c:pt idx="58">
                  <c:v>45034</c:v>
                </c:pt>
                <c:pt idx="59">
                  <c:v>45035</c:v>
                </c:pt>
                <c:pt idx="60">
                  <c:v>45036</c:v>
                </c:pt>
                <c:pt idx="61">
                  <c:v>45039</c:v>
                </c:pt>
                <c:pt idx="62">
                  <c:v>45040</c:v>
                </c:pt>
                <c:pt idx="63">
                  <c:v>45041</c:v>
                </c:pt>
                <c:pt idx="64">
                  <c:v>45042</c:v>
                </c:pt>
                <c:pt idx="65">
                  <c:v>45043</c:v>
                </c:pt>
                <c:pt idx="66">
                  <c:v>45046</c:v>
                </c:pt>
                <c:pt idx="67">
                  <c:v>45047</c:v>
                </c:pt>
                <c:pt idx="68">
                  <c:v>45048</c:v>
                </c:pt>
                <c:pt idx="69">
                  <c:v>45049</c:v>
                </c:pt>
                <c:pt idx="70">
                  <c:v>45050</c:v>
                </c:pt>
                <c:pt idx="71">
                  <c:v>45053</c:v>
                </c:pt>
                <c:pt idx="72">
                  <c:v>45054</c:v>
                </c:pt>
                <c:pt idx="73">
                  <c:v>45055</c:v>
                </c:pt>
                <c:pt idx="74">
                  <c:v>45056</c:v>
                </c:pt>
                <c:pt idx="75">
                  <c:v>45057</c:v>
                </c:pt>
                <c:pt idx="76">
                  <c:v>45060</c:v>
                </c:pt>
                <c:pt idx="77">
                  <c:v>45061</c:v>
                </c:pt>
                <c:pt idx="78">
                  <c:v>45062</c:v>
                </c:pt>
                <c:pt idx="79">
                  <c:v>45063</c:v>
                </c:pt>
                <c:pt idx="80">
                  <c:v>45064</c:v>
                </c:pt>
                <c:pt idx="81">
                  <c:v>45067</c:v>
                </c:pt>
                <c:pt idx="82">
                  <c:v>45068</c:v>
                </c:pt>
                <c:pt idx="83">
                  <c:v>45069</c:v>
                </c:pt>
                <c:pt idx="84">
                  <c:v>45070</c:v>
                </c:pt>
                <c:pt idx="85">
                  <c:v>45071</c:v>
                </c:pt>
                <c:pt idx="86">
                  <c:v>45075</c:v>
                </c:pt>
                <c:pt idx="87">
                  <c:v>45076</c:v>
                </c:pt>
                <c:pt idx="88">
                  <c:v>45077</c:v>
                </c:pt>
                <c:pt idx="89">
                  <c:v>45078</c:v>
                </c:pt>
                <c:pt idx="90">
                  <c:v>45081</c:v>
                </c:pt>
                <c:pt idx="91">
                  <c:v>45082</c:v>
                </c:pt>
                <c:pt idx="92">
                  <c:v>45083</c:v>
                </c:pt>
                <c:pt idx="93">
                  <c:v>45084</c:v>
                </c:pt>
                <c:pt idx="94">
                  <c:v>45085</c:v>
                </c:pt>
                <c:pt idx="95">
                  <c:v>45088</c:v>
                </c:pt>
                <c:pt idx="96">
                  <c:v>45089</c:v>
                </c:pt>
                <c:pt idx="97">
                  <c:v>45090</c:v>
                </c:pt>
                <c:pt idx="98">
                  <c:v>45091</c:v>
                </c:pt>
                <c:pt idx="99">
                  <c:v>45092</c:v>
                </c:pt>
                <c:pt idx="100">
                  <c:v>45096</c:v>
                </c:pt>
                <c:pt idx="101">
                  <c:v>45097</c:v>
                </c:pt>
                <c:pt idx="102">
                  <c:v>45098</c:v>
                </c:pt>
                <c:pt idx="103">
                  <c:v>45099</c:v>
                </c:pt>
                <c:pt idx="104">
                  <c:v>45102</c:v>
                </c:pt>
                <c:pt idx="105">
                  <c:v>45103</c:v>
                </c:pt>
                <c:pt idx="106">
                  <c:v>45104</c:v>
                </c:pt>
                <c:pt idx="107">
                  <c:v>45105</c:v>
                </c:pt>
                <c:pt idx="108">
                  <c:v>45106</c:v>
                </c:pt>
                <c:pt idx="109">
                  <c:v>45109</c:v>
                </c:pt>
                <c:pt idx="110">
                  <c:v>45111</c:v>
                </c:pt>
                <c:pt idx="111">
                  <c:v>45112</c:v>
                </c:pt>
                <c:pt idx="112">
                  <c:v>45113</c:v>
                </c:pt>
                <c:pt idx="113">
                  <c:v>45116</c:v>
                </c:pt>
                <c:pt idx="114">
                  <c:v>45117</c:v>
                </c:pt>
                <c:pt idx="115">
                  <c:v>45118</c:v>
                </c:pt>
                <c:pt idx="116">
                  <c:v>45119</c:v>
                </c:pt>
                <c:pt idx="117">
                  <c:v>45120</c:v>
                </c:pt>
                <c:pt idx="118">
                  <c:v>45123</c:v>
                </c:pt>
                <c:pt idx="119">
                  <c:v>45124</c:v>
                </c:pt>
                <c:pt idx="120">
                  <c:v>45125</c:v>
                </c:pt>
                <c:pt idx="121">
                  <c:v>45126</c:v>
                </c:pt>
                <c:pt idx="122">
                  <c:v>45127</c:v>
                </c:pt>
                <c:pt idx="123">
                  <c:v>45130</c:v>
                </c:pt>
                <c:pt idx="124">
                  <c:v>45131</c:v>
                </c:pt>
                <c:pt idx="125">
                  <c:v>45132</c:v>
                </c:pt>
                <c:pt idx="126">
                  <c:v>45133</c:v>
                </c:pt>
                <c:pt idx="127">
                  <c:v>45134</c:v>
                </c:pt>
                <c:pt idx="128">
                  <c:v>45137</c:v>
                </c:pt>
                <c:pt idx="129">
                  <c:v>45138</c:v>
                </c:pt>
                <c:pt idx="130">
                  <c:v>45139</c:v>
                </c:pt>
                <c:pt idx="131">
                  <c:v>45140</c:v>
                </c:pt>
                <c:pt idx="132">
                  <c:v>45141</c:v>
                </c:pt>
                <c:pt idx="133">
                  <c:v>45144</c:v>
                </c:pt>
                <c:pt idx="134">
                  <c:v>45145</c:v>
                </c:pt>
                <c:pt idx="135">
                  <c:v>45146</c:v>
                </c:pt>
                <c:pt idx="136">
                  <c:v>45147</c:v>
                </c:pt>
                <c:pt idx="137">
                  <c:v>45148</c:v>
                </c:pt>
                <c:pt idx="138">
                  <c:v>45154</c:v>
                </c:pt>
                <c:pt idx="139">
                  <c:v>45155</c:v>
                </c:pt>
                <c:pt idx="140">
                  <c:v>45158</c:v>
                </c:pt>
                <c:pt idx="141">
                  <c:v>45159</c:v>
                </c:pt>
                <c:pt idx="142">
                  <c:v>45160</c:v>
                </c:pt>
                <c:pt idx="143">
                  <c:v>45161</c:v>
                </c:pt>
                <c:pt idx="144">
                  <c:v>45162</c:v>
                </c:pt>
                <c:pt idx="145">
                  <c:v>45165</c:v>
                </c:pt>
                <c:pt idx="146">
                  <c:v>45166</c:v>
                </c:pt>
                <c:pt idx="147">
                  <c:v>45167</c:v>
                </c:pt>
                <c:pt idx="148">
                  <c:v>45168</c:v>
                </c:pt>
                <c:pt idx="149">
                  <c:v>45169</c:v>
                </c:pt>
                <c:pt idx="150">
                  <c:v>45173</c:v>
                </c:pt>
                <c:pt idx="151">
                  <c:v>45174</c:v>
                </c:pt>
                <c:pt idx="152">
                  <c:v>45175</c:v>
                </c:pt>
                <c:pt idx="153">
                  <c:v>45176</c:v>
                </c:pt>
                <c:pt idx="154">
                  <c:v>45179</c:v>
                </c:pt>
                <c:pt idx="155">
                  <c:v>45180</c:v>
                </c:pt>
                <c:pt idx="156">
                  <c:v>45181</c:v>
                </c:pt>
                <c:pt idx="157">
                  <c:v>45182</c:v>
                </c:pt>
                <c:pt idx="158">
                  <c:v>45183</c:v>
                </c:pt>
                <c:pt idx="159">
                  <c:v>45186</c:v>
                </c:pt>
                <c:pt idx="160">
                  <c:v>45187</c:v>
                </c:pt>
                <c:pt idx="161">
                  <c:v>45188</c:v>
                </c:pt>
                <c:pt idx="162">
                  <c:v>45189</c:v>
                </c:pt>
                <c:pt idx="163">
                  <c:v>45190</c:v>
                </c:pt>
                <c:pt idx="164">
                  <c:v>45193</c:v>
                </c:pt>
                <c:pt idx="165">
                  <c:v>45194</c:v>
                </c:pt>
                <c:pt idx="166">
                  <c:v>45195</c:v>
                </c:pt>
                <c:pt idx="167">
                  <c:v>45196</c:v>
                </c:pt>
                <c:pt idx="168">
                  <c:v>45197</c:v>
                </c:pt>
                <c:pt idx="169">
                  <c:v>45200</c:v>
                </c:pt>
                <c:pt idx="170">
                  <c:v>45201</c:v>
                </c:pt>
                <c:pt idx="171">
                  <c:v>45202</c:v>
                </c:pt>
                <c:pt idx="172">
                  <c:v>45203</c:v>
                </c:pt>
                <c:pt idx="173">
                  <c:v>45204</c:v>
                </c:pt>
                <c:pt idx="174">
                  <c:v>45208</c:v>
                </c:pt>
                <c:pt idx="175">
                  <c:v>45209</c:v>
                </c:pt>
                <c:pt idx="176">
                  <c:v>45210</c:v>
                </c:pt>
                <c:pt idx="177">
                  <c:v>45211</c:v>
                </c:pt>
                <c:pt idx="178">
                  <c:v>45214</c:v>
                </c:pt>
                <c:pt idx="179">
                  <c:v>45215</c:v>
                </c:pt>
                <c:pt idx="180">
                  <c:v>45216</c:v>
                </c:pt>
                <c:pt idx="181">
                  <c:v>45217</c:v>
                </c:pt>
                <c:pt idx="182">
                  <c:v>45218</c:v>
                </c:pt>
                <c:pt idx="183">
                  <c:v>45221</c:v>
                </c:pt>
                <c:pt idx="184">
                  <c:v>45222</c:v>
                </c:pt>
                <c:pt idx="185">
                  <c:v>45223</c:v>
                </c:pt>
                <c:pt idx="186">
                  <c:v>45224</c:v>
                </c:pt>
                <c:pt idx="187">
                  <c:v>45225</c:v>
                </c:pt>
                <c:pt idx="188">
                  <c:v>45228</c:v>
                </c:pt>
                <c:pt idx="189">
                  <c:v>45229</c:v>
                </c:pt>
                <c:pt idx="190">
                  <c:v>45230</c:v>
                </c:pt>
                <c:pt idx="191">
                  <c:v>45231</c:v>
                </c:pt>
                <c:pt idx="192">
                  <c:v>45232</c:v>
                </c:pt>
                <c:pt idx="193">
                  <c:v>45235</c:v>
                </c:pt>
                <c:pt idx="194">
                  <c:v>45236</c:v>
                </c:pt>
                <c:pt idx="195">
                  <c:v>45237</c:v>
                </c:pt>
                <c:pt idx="196">
                  <c:v>45238</c:v>
                </c:pt>
                <c:pt idx="197">
                  <c:v>45242</c:v>
                </c:pt>
                <c:pt idx="198">
                  <c:v>45243</c:v>
                </c:pt>
                <c:pt idx="199">
                  <c:v>45244</c:v>
                </c:pt>
                <c:pt idx="200">
                  <c:v>45245</c:v>
                </c:pt>
                <c:pt idx="201">
                  <c:v>45246</c:v>
                </c:pt>
                <c:pt idx="202">
                  <c:v>45249</c:v>
                </c:pt>
                <c:pt idx="203">
                  <c:v>45250</c:v>
                </c:pt>
                <c:pt idx="204">
                  <c:v>45251</c:v>
                </c:pt>
                <c:pt idx="205">
                  <c:v>45253</c:v>
                </c:pt>
                <c:pt idx="206">
                  <c:v>45256</c:v>
                </c:pt>
                <c:pt idx="207">
                  <c:v>45257</c:v>
                </c:pt>
                <c:pt idx="208">
                  <c:v>45258</c:v>
                </c:pt>
                <c:pt idx="209">
                  <c:v>45259</c:v>
                </c:pt>
                <c:pt idx="210">
                  <c:v>45260</c:v>
                </c:pt>
                <c:pt idx="211">
                  <c:v>45263</c:v>
                </c:pt>
                <c:pt idx="212">
                  <c:v>45264</c:v>
                </c:pt>
                <c:pt idx="213">
                  <c:v>45265</c:v>
                </c:pt>
                <c:pt idx="214">
                  <c:v>45266</c:v>
                </c:pt>
                <c:pt idx="215">
                  <c:v>45267</c:v>
                </c:pt>
                <c:pt idx="216">
                  <c:v>45270</c:v>
                </c:pt>
                <c:pt idx="217">
                  <c:v>45271</c:v>
                </c:pt>
                <c:pt idx="218">
                  <c:v>45272</c:v>
                </c:pt>
                <c:pt idx="219">
                  <c:v>45273</c:v>
                </c:pt>
                <c:pt idx="220">
                  <c:v>45274</c:v>
                </c:pt>
                <c:pt idx="221">
                  <c:v>45277</c:v>
                </c:pt>
                <c:pt idx="222">
                  <c:v>45278</c:v>
                </c:pt>
                <c:pt idx="223">
                  <c:v>45279</c:v>
                </c:pt>
                <c:pt idx="224">
                  <c:v>45280</c:v>
                </c:pt>
                <c:pt idx="225">
                  <c:v>45281</c:v>
                </c:pt>
                <c:pt idx="226">
                  <c:v>45285</c:v>
                </c:pt>
                <c:pt idx="227">
                  <c:v>45286</c:v>
                </c:pt>
                <c:pt idx="228">
                  <c:v>45287</c:v>
                </c:pt>
                <c:pt idx="229">
                  <c:v>45288</c:v>
                </c:pt>
                <c:pt idx="230">
                  <c:v>45292</c:v>
                </c:pt>
                <c:pt idx="231">
                  <c:v>45293</c:v>
                </c:pt>
                <c:pt idx="232">
                  <c:v>45294</c:v>
                </c:pt>
                <c:pt idx="233">
                  <c:v>45295</c:v>
                </c:pt>
                <c:pt idx="234">
                  <c:v>45298</c:v>
                </c:pt>
                <c:pt idx="235">
                  <c:v>45299</c:v>
                </c:pt>
                <c:pt idx="236">
                  <c:v>45300</c:v>
                </c:pt>
                <c:pt idx="237">
                  <c:v>45301</c:v>
                </c:pt>
                <c:pt idx="238">
                  <c:v>45302</c:v>
                </c:pt>
                <c:pt idx="239">
                  <c:v>45306</c:v>
                </c:pt>
                <c:pt idx="240">
                  <c:v>45307</c:v>
                </c:pt>
                <c:pt idx="241">
                  <c:v>45308</c:v>
                </c:pt>
                <c:pt idx="242">
                  <c:v>45309</c:v>
                </c:pt>
                <c:pt idx="243">
                  <c:v>45312</c:v>
                </c:pt>
                <c:pt idx="244">
                  <c:v>45313</c:v>
                </c:pt>
                <c:pt idx="245">
                  <c:v>45314</c:v>
                </c:pt>
                <c:pt idx="246">
                  <c:v>45315</c:v>
                </c:pt>
                <c:pt idx="247">
                  <c:v>45316</c:v>
                </c:pt>
                <c:pt idx="248">
                  <c:v>45319</c:v>
                </c:pt>
                <c:pt idx="249">
                  <c:v>45320</c:v>
                </c:pt>
                <c:pt idx="250">
                  <c:v>45321</c:v>
                </c:pt>
                <c:pt idx="251">
                  <c:v>45322</c:v>
                </c:pt>
                <c:pt idx="252">
                  <c:v>45323</c:v>
                </c:pt>
                <c:pt idx="253">
                  <c:v>45326</c:v>
                </c:pt>
                <c:pt idx="254">
                  <c:v>45327</c:v>
                </c:pt>
                <c:pt idx="255">
                  <c:v>45328</c:v>
                </c:pt>
                <c:pt idx="256">
                  <c:v>45329</c:v>
                </c:pt>
                <c:pt idx="257">
                  <c:v>45330</c:v>
                </c:pt>
                <c:pt idx="258">
                  <c:v>45333</c:v>
                </c:pt>
                <c:pt idx="259">
                  <c:v>45334</c:v>
                </c:pt>
                <c:pt idx="260">
                  <c:v>45335</c:v>
                </c:pt>
                <c:pt idx="261">
                  <c:v>45336</c:v>
                </c:pt>
                <c:pt idx="262">
                  <c:v>45337</c:v>
                </c:pt>
                <c:pt idx="263">
                  <c:v>45341</c:v>
                </c:pt>
                <c:pt idx="264">
                  <c:v>45342</c:v>
                </c:pt>
                <c:pt idx="265">
                  <c:v>45343</c:v>
                </c:pt>
                <c:pt idx="266">
                  <c:v>45344</c:v>
                </c:pt>
                <c:pt idx="267">
                  <c:v>45347</c:v>
                </c:pt>
                <c:pt idx="268">
                  <c:v>45348</c:v>
                </c:pt>
                <c:pt idx="269">
                  <c:v>45349</c:v>
                </c:pt>
                <c:pt idx="270">
                  <c:v>45350</c:v>
                </c:pt>
                <c:pt idx="271">
                  <c:v>45351</c:v>
                </c:pt>
                <c:pt idx="272">
                  <c:v>45354</c:v>
                </c:pt>
                <c:pt idx="273">
                  <c:v>45355</c:v>
                </c:pt>
                <c:pt idx="274">
                  <c:v>45356</c:v>
                </c:pt>
                <c:pt idx="275">
                  <c:v>45357</c:v>
                </c:pt>
                <c:pt idx="276">
                  <c:v>45358</c:v>
                </c:pt>
                <c:pt idx="277">
                  <c:v>45361</c:v>
                </c:pt>
                <c:pt idx="278">
                  <c:v>45362</c:v>
                </c:pt>
                <c:pt idx="279">
                  <c:v>45363</c:v>
                </c:pt>
                <c:pt idx="280">
                  <c:v>45364</c:v>
                </c:pt>
                <c:pt idx="281">
                  <c:v>45365</c:v>
                </c:pt>
                <c:pt idx="282">
                  <c:v>45368</c:v>
                </c:pt>
                <c:pt idx="283">
                  <c:v>45369</c:v>
                </c:pt>
                <c:pt idx="284">
                  <c:v>45370</c:v>
                </c:pt>
                <c:pt idx="285">
                  <c:v>45371</c:v>
                </c:pt>
                <c:pt idx="286">
                  <c:v>45372</c:v>
                </c:pt>
                <c:pt idx="287">
                  <c:v>45375</c:v>
                </c:pt>
                <c:pt idx="288">
                  <c:v>45376</c:v>
                </c:pt>
                <c:pt idx="289">
                  <c:v>45377</c:v>
                </c:pt>
                <c:pt idx="290">
                  <c:v>45378</c:v>
                </c:pt>
                <c:pt idx="291">
                  <c:v>45379</c:v>
                </c:pt>
                <c:pt idx="292">
                  <c:v>45382</c:v>
                </c:pt>
                <c:pt idx="293">
                  <c:v>45383</c:v>
                </c:pt>
                <c:pt idx="294">
                  <c:v>45384</c:v>
                </c:pt>
                <c:pt idx="295">
                  <c:v>45385</c:v>
                </c:pt>
                <c:pt idx="296">
                  <c:v>45386</c:v>
                </c:pt>
                <c:pt idx="297">
                  <c:v>45389</c:v>
                </c:pt>
                <c:pt idx="298">
                  <c:v>45390</c:v>
                </c:pt>
                <c:pt idx="299">
                  <c:v>45391</c:v>
                </c:pt>
                <c:pt idx="300">
                  <c:v>45392</c:v>
                </c:pt>
                <c:pt idx="301">
                  <c:v>45393</c:v>
                </c:pt>
                <c:pt idx="302">
                  <c:v>45396</c:v>
                </c:pt>
                <c:pt idx="303">
                  <c:v>45397</c:v>
                </c:pt>
                <c:pt idx="304">
                  <c:v>45398</c:v>
                </c:pt>
                <c:pt idx="305">
                  <c:v>45399</c:v>
                </c:pt>
                <c:pt idx="306">
                  <c:v>45400</c:v>
                </c:pt>
                <c:pt idx="307">
                  <c:v>45403</c:v>
                </c:pt>
                <c:pt idx="308">
                  <c:v>45404</c:v>
                </c:pt>
                <c:pt idx="309">
                  <c:v>45405</c:v>
                </c:pt>
                <c:pt idx="310">
                  <c:v>45406</c:v>
                </c:pt>
                <c:pt idx="311">
                  <c:v>45407</c:v>
                </c:pt>
                <c:pt idx="312">
                  <c:v>45410</c:v>
                </c:pt>
                <c:pt idx="313">
                  <c:v>45411</c:v>
                </c:pt>
                <c:pt idx="314">
                  <c:v>45412</c:v>
                </c:pt>
                <c:pt idx="315">
                  <c:v>45413</c:v>
                </c:pt>
                <c:pt idx="316">
                  <c:v>45414</c:v>
                </c:pt>
                <c:pt idx="317">
                  <c:v>45417</c:v>
                </c:pt>
                <c:pt idx="318">
                  <c:v>45418</c:v>
                </c:pt>
                <c:pt idx="319">
                  <c:v>45419</c:v>
                </c:pt>
                <c:pt idx="320">
                  <c:v>45420</c:v>
                </c:pt>
                <c:pt idx="321">
                  <c:v>45421</c:v>
                </c:pt>
                <c:pt idx="322">
                  <c:v>45424</c:v>
                </c:pt>
                <c:pt idx="323">
                  <c:v>45425</c:v>
                </c:pt>
                <c:pt idx="324">
                  <c:v>45426</c:v>
                </c:pt>
                <c:pt idx="325">
                  <c:v>45427</c:v>
                </c:pt>
                <c:pt idx="326">
                  <c:v>45428</c:v>
                </c:pt>
                <c:pt idx="327">
                  <c:v>45431</c:v>
                </c:pt>
                <c:pt idx="328">
                  <c:v>45432</c:v>
                </c:pt>
                <c:pt idx="329">
                  <c:v>45433</c:v>
                </c:pt>
                <c:pt idx="330">
                  <c:v>45434</c:v>
                </c:pt>
                <c:pt idx="331">
                  <c:v>45435</c:v>
                </c:pt>
                <c:pt idx="332">
                  <c:v>45439</c:v>
                </c:pt>
                <c:pt idx="333">
                  <c:v>45440</c:v>
                </c:pt>
                <c:pt idx="334">
                  <c:v>45441</c:v>
                </c:pt>
                <c:pt idx="335">
                  <c:v>45442</c:v>
                </c:pt>
                <c:pt idx="336">
                  <c:v>45445</c:v>
                </c:pt>
                <c:pt idx="337">
                  <c:v>45446</c:v>
                </c:pt>
                <c:pt idx="338">
                  <c:v>45447</c:v>
                </c:pt>
                <c:pt idx="339">
                  <c:v>45448</c:v>
                </c:pt>
                <c:pt idx="340">
                  <c:v>45449</c:v>
                </c:pt>
                <c:pt idx="341">
                  <c:v>45452</c:v>
                </c:pt>
                <c:pt idx="342">
                  <c:v>45453</c:v>
                </c:pt>
                <c:pt idx="343">
                  <c:v>45454</c:v>
                </c:pt>
                <c:pt idx="344">
                  <c:v>45455</c:v>
                </c:pt>
                <c:pt idx="345">
                  <c:v>45456</c:v>
                </c:pt>
                <c:pt idx="346">
                  <c:v>45459</c:v>
                </c:pt>
                <c:pt idx="347">
                  <c:v>45460</c:v>
                </c:pt>
                <c:pt idx="348">
                  <c:v>45461</c:v>
                </c:pt>
                <c:pt idx="349">
                  <c:v>45462</c:v>
                </c:pt>
                <c:pt idx="350">
                  <c:v>45463</c:v>
                </c:pt>
                <c:pt idx="351">
                  <c:v>45466</c:v>
                </c:pt>
                <c:pt idx="352">
                  <c:v>45467</c:v>
                </c:pt>
                <c:pt idx="353">
                  <c:v>45468</c:v>
                </c:pt>
                <c:pt idx="354">
                  <c:v>45469</c:v>
                </c:pt>
                <c:pt idx="355">
                  <c:v>45470</c:v>
                </c:pt>
                <c:pt idx="356">
                  <c:v>45473</c:v>
                </c:pt>
                <c:pt idx="357">
                  <c:v>45474</c:v>
                </c:pt>
                <c:pt idx="358">
                  <c:v>45475</c:v>
                </c:pt>
                <c:pt idx="359">
                  <c:v>45477</c:v>
                </c:pt>
                <c:pt idx="360">
                  <c:v>45480</c:v>
                </c:pt>
                <c:pt idx="361">
                  <c:v>45481</c:v>
                </c:pt>
                <c:pt idx="362">
                  <c:v>45482</c:v>
                </c:pt>
                <c:pt idx="363">
                  <c:v>45483</c:v>
                </c:pt>
                <c:pt idx="364">
                  <c:v>45484</c:v>
                </c:pt>
                <c:pt idx="365">
                  <c:v>45487</c:v>
                </c:pt>
                <c:pt idx="366">
                  <c:v>45488</c:v>
                </c:pt>
                <c:pt idx="367">
                  <c:v>45489</c:v>
                </c:pt>
                <c:pt idx="368">
                  <c:v>45490</c:v>
                </c:pt>
                <c:pt idx="369">
                  <c:v>45494</c:v>
                </c:pt>
                <c:pt idx="370">
                  <c:v>45495</c:v>
                </c:pt>
                <c:pt idx="371">
                  <c:v>45496</c:v>
                </c:pt>
                <c:pt idx="372">
                  <c:v>45497</c:v>
                </c:pt>
                <c:pt idx="373">
                  <c:v>45498</c:v>
                </c:pt>
                <c:pt idx="374">
                  <c:v>45501</c:v>
                </c:pt>
                <c:pt idx="375">
                  <c:v>45502</c:v>
                </c:pt>
                <c:pt idx="376">
                  <c:v>45503</c:v>
                </c:pt>
                <c:pt idx="377">
                  <c:v>45504</c:v>
                </c:pt>
                <c:pt idx="378">
                  <c:v>45505</c:v>
                </c:pt>
                <c:pt idx="379">
                  <c:v>45508</c:v>
                </c:pt>
                <c:pt idx="380">
                  <c:v>45509</c:v>
                </c:pt>
                <c:pt idx="381">
                  <c:v>45510</c:v>
                </c:pt>
                <c:pt idx="382">
                  <c:v>45511</c:v>
                </c:pt>
                <c:pt idx="383">
                  <c:v>45512</c:v>
                </c:pt>
                <c:pt idx="384">
                  <c:v>45515</c:v>
                </c:pt>
                <c:pt idx="385">
                  <c:v>45516</c:v>
                </c:pt>
                <c:pt idx="386">
                  <c:v>45517</c:v>
                </c:pt>
                <c:pt idx="387">
                  <c:v>45518</c:v>
                </c:pt>
                <c:pt idx="388">
                  <c:v>45519</c:v>
                </c:pt>
                <c:pt idx="389">
                  <c:v>45522</c:v>
                </c:pt>
                <c:pt idx="390">
                  <c:v>45523</c:v>
                </c:pt>
                <c:pt idx="391">
                  <c:v>45524</c:v>
                </c:pt>
                <c:pt idx="392">
                  <c:v>45525</c:v>
                </c:pt>
                <c:pt idx="393">
                  <c:v>45526</c:v>
                </c:pt>
                <c:pt idx="394">
                  <c:v>45531</c:v>
                </c:pt>
                <c:pt idx="395">
                  <c:v>45532</c:v>
                </c:pt>
                <c:pt idx="396">
                  <c:v>45533</c:v>
                </c:pt>
                <c:pt idx="397">
                  <c:v>45537</c:v>
                </c:pt>
                <c:pt idx="398">
                  <c:v>45538</c:v>
                </c:pt>
                <c:pt idx="399">
                  <c:v>45539</c:v>
                </c:pt>
                <c:pt idx="400">
                  <c:v>45540</c:v>
                </c:pt>
                <c:pt idx="401">
                  <c:v>45543</c:v>
                </c:pt>
                <c:pt idx="402">
                  <c:v>45544</c:v>
                </c:pt>
                <c:pt idx="403">
                  <c:v>45545</c:v>
                </c:pt>
                <c:pt idx="404">
                  <c:v>45546</c:v>
                </c:pt>
                <c:pt idx="405">
                  <c:v>45547</c:v>
                </c:pt>
                <c:pt idx="406">
                  <c:v>45548</c:v>
                </c:pt>
                <c:pt idx="407">
                  <c:v>45550</c:v>
                </c:pt>
                <c:pt idx="408">
                  <c:v>45551</c:v>
                </c:pt>
                <c:pt idx="409">
                  <c:v>45552</c:v>
                </c:pt>
                <c:pt idx="410">
                  <c:v>45553</c:v>
                </c:pt>
                <c:pt idx="411">
                  <c:v>45554</c:v>
                </c:pt>
                <c:pt idx="412">
                  <c:v>45557</c:v>
                </c:pt>
                <c:pt idx="413">
                  <c:v>45558</c:v>
                </c:pt>
                <c:pt idx="414">
                  <c:v>45559</c:v>
                </c:pt>
                <c:pt idx="415">
                  <c:v>45560</c:v>
                </c:pt>
                <c:pt idx="416">
                  <c:v>45561</c:v>
                </c:pt>
                <c:pt idx="417">
                  <c:v>45564</c:v>
                </c:pt>
                <c:pt idx="418">
                  <c:v>45565</c:v>
                </c:pt>
                <c:pt idx="419">
                  <c:v>45566</c:v>
                </c:pt>
                <c:pt idx="420">
                  <c:v>45567</c:v>
                </c:pt>
                <c:pt idx="421">
                  <c:v>45568</c:v>
                </c:pt>
                <c:pt idx="422">
                  <c:v>45572</c:v>
                </c:pt>
                <c:pt idx="423">
                  <c:v>45573</c:v>
                </c:pt>
                <c:pt idx="424">
                  <c:v>45574</c:v>
                </c:pt>
                <c:pt idx="425">
                  <c:v>45575</c:v>
                </c:pt>
                <c:pt idx="426">
                  <c:v>45578</c:v>
                </c:pt>
                <c:pt idx="427">
                  <c:v>45579</c:v>
                </c:pt>
                <c:pt idx="428">
                  <c:v>45580</c:v>
                </c:pt>
                <c:pt idx="429">
                  <c:v>45581</c:v>
                </c:pt>
                <c:pt idx="430">
                  <c:v>45582</c:v>
                </c:pt>
                <c:pt idx="431">
                  <c:v>45585</c:v>
                </c:pt>
                <c:pt idx="432">
                  <c:v>45586</c:v>
                </c:pt>
                <c:pt idx="433">
                  <c:v>45587</c:v>
                </c:pt>
                <c:pt idx="434">
                  <c:v>45588</c:v>
                </c:pt>
                <c:pt idx="435">
                  <c:v>45592</c:v>
                </c:pt>
                <c:pt idx="436">
                  <c:v>45593</c:v>
                </c:pt>
                <c:pt idx="437">
                  <c:v>45594</c:v>
                </c:pt>
                <c:pt idx="438">
                  <c:v>45595</c:v>
                </c:pt>
                <c:pt idx="439">
                  <c:v>45596</c:v>
                </c:pt>
                <c:pt idx="440">
                  <c:v>45599</c:v>
                </c:pt>
                <c:pt idx="441">
                  <c:v>45600</c:v>
                </c:pt>
                <c:pt idx="442">
                  <c:v>45601</c:v>
                </c:pt>
                <c:pt idx="443">
                  <c:v>45602</c:v>
                </c:pt>
                <c:pt idx="444">
                  <c:v>45603</c:v>
                </c:pt>
                <c:pt idx="445">
                  <c:v>45607</c:v>
                </c:pt>
                <c:pt idx="446">
                  <c:v>45608</c:v>
                </c:pt>
                <c:pt idx="447">
                  <c:v>45609</c:v>
                </c:pt>
                <c:pt idx="448">
                  <c:v>45610</c:v>
                </c:pt>
                <c:pt idx="449">
                  <c:v>45613</c:v>
                </c:pt>
                <c:pt idx="450">
                  <c:v>45614</c:v>
                </c:pt>
                <c:pt idx="451">
                  <c:v>45615</c:v>
                </c:pt>
                <c:pt idx="452">
                  <c:v>45616</c:v>
                </c:pt>
                <c:pt idx="453">
                  <c:v>45617</c:v>
                </c:pt>
                <c:pt idx="454">
                  <c:v>45620</c:v>
                </c:pt>
                <c:pt idx="455">
                  <c:v>45621</c:v>
                </c:pt>
                <c:pt idx="456">
                  <c:v>45622</c:v>
                </c:pt>
                <c:pt idx="457">
                  <c:v>45623</c:v>
                </c:pt>
                <c:pt idx="458">
                  <c:v>45624</c:v>
                </c:pt>
                <c:pt idx="459">
                  <c:v>45627</c:v>
                </c:pt>
                <c:pt idx="460">
                  <c:v>45628</c:v>
                </c:pt>
                <c:pt idx="461">
                  <c:v>45629</c:v>
                </c:pt>
                <c:pt idx="462">
                  <c:v>45630</c:v>
                </c:pt>
                <c:pt idx="463">
                  <c:v>45631</c:v>
                </c:pt>
                <c:pt idx="464">
                  <c:v>45634</c:v>
                </c:pt>
                <c:pt idx="465">
                  <c:v>45635</c:v>
                </c:pt>
                <c:pt idx="466">
                  <c:v>45636</c:v>
                </c:pt>
                <c:pt idx="467">
                  <c:v>45637</c:v>
                </c:pt>
                <c:pt idx="468">
                  <c:v>45638</c:v>
                </c:pt>
                <c:pt idx="469">
                  <c:v>45641</c:v>
                </c:pt>
                <c:pt idx="470">
                  <c:v>45642</c:v>
                </c:pt>
                <c:pt idx="471">
                  <c:v>45643</c:v>
                </c:pt>
                <c:pt idx="472">
                  <c:v>45644</c:v>
                </c:pt>
                <c:pt idx="473">
                  <c:v>45645</c:v>
                </c:pt>
                <c:pt idx="474">
                  <c:v>45648</c:v>
                </c:pt>
                <c:pt idx="475">
                  <c:v>45649</c:v>
                </c:pt>
                <c:pt idx="476">
                  <c:v>45650</c:v>
                </c:pt>
                <c:pt idx="477">
                  <c:v>45651</c:v>
                </c:pt>
                <c:pt idx="478">
                  <c:v>45652</c:v>
                </c:pt>
                <c:pt idx="479">
                  <c:v>45655</c:v>
                </c:pt>
                <c:pt idx="480">
                  <c:v>45656</c:v>
                </c:pt>
                <c:pt idx="481">
                  <c:v>45658</c:v>
                </c:pt>
                <c:pt idx="482">
                  <c:v>45659</c:v>
                </c:pt>
                <c:pt idx="483">
                  <c:v>45662</c:v>
                </c:pt>
                <c:pt idx="484">
                  <c:v>45663</c:v>
                </c:pt>
                <c:pt idx="485">
                  <c:v>45664</c:v>
                </c:pt>
                <c:pt idx="486">
                  <c:v>45665</c:v>
                </c:pt>
                <c:pt idx="487">
                  <c:v>45666</c:v>
                </c:pt>
                <c:pt idx="488">
                  <c:v>45669</c:v>
                </c:pt>
                <c:pt idx="489">
                  <c:v>45670</c:v>
                </c:pt>
                <c:pt idx="490">
                  <c:v>45671</c:v>
                </c:pt>
                <c:pt idx="491">
                  <c:v>45672</c:v>
                </c:pt>
                <c:pt idx="492">
                  <c:v>45673</c:v>
                </c:pt>
                <c:pt idx="493">
                  <c:v>45676</c:v>
                </c:pt>
                <c:pt idx="494">
                  <c:v>45677</c:v>
                </c:pt>
                <c:pt idx="495">
                  <c:v>45678</c:v>
                </c:pt>
                <c:pt idx="496">
                  <c:v>45679</c:v>
                </c:pt>
                <c:pt idx="497">
                  <c:v>45680</c:v>
                </c:pt>
                <c:pt idx="498">
                  <c:v>45683</c:v>
                </c:pt>
                <c:pt idx="499">
                  <c:v>45684</c:v>
                </c:pt>
                <c:pt idx="500">
                  <c:v>45685</c:v>
                </c:pt>
                <c:pt idx="501">
                  <c:v>45686</c:v>
                </c:pt>
                <c:pt idx="502">
                  <c:v>45687</c:v>
                </c:pt>
                <c:pt idx="503">
                  <c:v>45690</c:v>
                </c:pt>
                <c:pt idx="504">
                  <c:v>45691</c:v>
                </c:pt>
                <c:pt idx="505">
                  <c:v>45692</c:v>
                </c:pt>
                <c:pt idx="506">
                  <c:v>45693</c:v>
                </c:pt>
                <c:pt idx="507">
                  <c:v>45694</c:v>
                </c:pt>
                <c:pt idx="508">
                  <c:v>45697</c:v>
                </c:pt>
                <c:pt idx="509">
                  <c:v>45698</c:v>
                </c:pt>
                <c:pt idx="510">
                  <c:v>45699</c:v>
                </c:pt>
                <c:pt idx="511">
                  <c:v>45700</c:v>
                </c:pt>
                <c:pt idx="512">
                  <c:v>45701</c:v>
                </c:pt>
                <c:pt idx="513">
                  <c:v>45705</c:v>
                </c:pt>
                <c:pt idx="514">
                  <c:v>45706</c:v>
                </c:pt>
                <c:pt idx="515">
                  <c:v>45707</c:v>
                </c:pt>
                <c:pt idx="516">
                  <c:v>45708</c:v>
                </c:pt>
                <c:pt idx="517">
                  <c:v>45711</c:v>
                </c:pt>
                <c:pt idx="518">
                  <c:v>45712</c:v>
                </c:pt>
                <c:pt idx="519">
                  <c:v>45713</c:v>
                </c:pt>
                <c:pt idx="520">
                  <c:v>45714</c:v>
                </c:pt>
                <c:pt idx="521">
                  <c:v>45715</c:v>
                </c:pt>
                <c:pt idx="522">
                  <c:v>45718</c:v>
                </c:pt>
                <c:pt idx="523">
                  <c:v>45719</c:v>
                </c:pt>
                <c:pt idx="524">
                  <c:v>45720</c:v>
                </c:pt>
                <c:pt idx="525">
                  <c:v>45721</c:v>
                </c:pt>
                <c:pt idx="526">
                  <c:v>45722</c:v>
                </c:pt>
                <c:pt idx="527">
                  <c:v>45725</c:v>
                </c:pt>
                <c:pt idx="528">
                  <c:v>45726</c:v>
                </c:pt>
                <c:pt idx="529">
                  <c:v>45727</c:v>
                </c:pt>
                <c:pt idx="530">
                  <c:v>45728</c:v>
                </c:pt>
                <c:pt idx="531">
                  <c:v>45729</c:v>
                </c:pt>
                <c:pt idx="532">
                  <c:v>45732</c:v>
                </c:pt>
                <c:pt idx="533">
                  <c:v>45733</c:v>
                </c:pt>
                <c:pt idx="534">
                  <c:v>45734</c:v>
                </c:pt>
                <c:pt idx="535">
                  <c:v>45735</c:v>
                </c:pt>
                <c:pt idx="536">
                  <c:v>45736</c:v>
                </c:pt>
                <c:pt idx="537">
                  <c:v>45739</c:v>
                </c:pt>
                <c:pt idx="538">
                  <c:v>45740</c:v>
                </c:pt>
                <c:pt idx="539">
                  <c:v>45741</c:v>
                </c:pt>
                <c:pt idx="540">
                  <c:v>45742</c:v>
                </c:pt>
                <c:pt idx="541">
                  <c:v>45743</c:v>
                </c:pt>
                <c:pt idx="542">
                  <c:v>45746</c:v>
                </c:pt>
                <c:pt idx="543">
                  <c:v>45747</c:v>
                </c:pt>
                <c:pt idx="544">
                  <c:v>45748</c:v>
                </c:pt>
                <c:pt idx="545">
                  <c:v>45749</c:v>
                </c:pt>
                <c:pt idx="546">
                  <c:v>45750</c:v>
                </c:pt>
                <c:pt idx="547">
                  <c:v>45753</c:v>
                </c:pt>
                <c:pt idx="548">
                  <c:v>45754</c:v>
                </c:pt>
                <c:pt idx="549">
                  <c:v>45755</c:v>
                </c:pt>
                <c:pt idx="550">
                  <c:v>45756</c:v>
                </c:pt>
                <c:pt idx="551">
                  <c:v>45757</c:v>
                </c:pt>
                <c:pt idx="552">
                  <c:v>45758</c:v>
                </c:pt>
                <c:pt idx="553">
                  <c:v>45760</c:v>
                </c:pt>
                <c:pt idx="554">
                  <c:v>45761</c:v>
                </c:pt>
                <c:pt idx="555">
                  <c:v>45762</c:v>
                </c:pt>
                <c:pt idx="556">
                  <c:v>45763</c:v>
                </c:pt>
                <c:pt idx="557">
                  <c:v>45764</c:v>
                </c:pt>
                <c:pt idx="558">
                  <c:v>45767</c:v>
                </c:pt>
                <c:pt idx="559">
                  <c:v>45768</c:v>
                </c:pt>
                <c:pt idx="560">
                  <c:v>45769</c:v>
                </c:pt>
                <c:pt idx="561">
                  <c:v>45770</c:v>
                </c:pt>
                <c:pt idx="562">
                  <c:v>45771</c:v>
                </c:pt>
                <c:pt idx="563">
                  <c:v>45774</c:v>
                </c:pt>
                <c:pt idx="564">
                  <c:v>45775</c:v>
                </c:pt>
                <c:pt idx="565">
                  <c:v>45776</c:v>
                </c:pt>
                <c:pt idx="566">
                  <c:v>45777</c:v>
                </c:pt>
                <c:pt idx="567">
                  <c:v>45778</c:v>
                </c:pt>
                <c:pt idx="568">
                  <c:v>45781</c:v>
                </c:pt>
                <c:pt idx="569">
                  <c:v>45782</c:v>
                </c:pt>
                <c:pt idx="570">
                  <c:v>45783</c:v>
                </c:pt>
                <c:pt idx="571">
                  <c:v>45784</c:v>
                </c:pt>
                <c:pt idx="572">
                  <c:v>45785</c:v>
                </c:pt>
                <c:pt idx="573">
                  <c:v>45788</c:v>
                </c:pt>
                <c:pt idx="574">
                  <c:v>45789</c:v>
                </c:pt>
                <c:pt idx="575">
                  <c:v>45790</c:v>
                </c:pt>
                <c:pt idx="576">
                  <c:v>45791</c:v>
                </c:pt>
                <c:pt idx="577">
                  <c:v>45792</c:v>
                </c:pt>
                <c:pt idx="578">
                  <c:v>45795</c:v>
                </c:pt>
                <c:pt idx="579">
                  <c:v>45796</c:v>
                </c:pt>
                <c:pt idx="580">
                  <c:v>45798</c:v>
                </c:pt>
                <c:pt idx="581">
                  <c:v>45799</c:v>
                </c:pt>
                <c:pt idx="582">
                  <c:v>45804</c:v>
                </c:pt>
                <c:pt idx="583">
                  <c:v>45805</c:v>
                </c:pt>
                <c:pt idx="584">
                  <c:v>45806</c:v>
                </c:pt>
                <c:pt idx="585">
                  <c:v>45809</c:v>
                </c:pt>
                <c:pt idx="586">
                  <c:v>45810</c:v>
                </c:pt>
                <c:pt idx="587">
                  <c:v>45811</c:v>
                </c:pt>
                <c:pt idx="588">
                  <c:v>45812</c:v>
                </c:pt>
                <c:pt idx="589">
                  <c:v>45813</c:v>
                </c:pt>
                <c:pt idx="590">
                  <c:v>45816</c:v>
                </c:pt>
                <c:pt idx="591">
                  <c:v>45817</c:v>
                </c:pt>
                <c:pt idx="592">
                  <c:v>45818</c:v>
                </c:pt>
                <c:pt idx="593">
                  <c:v>45825</c:v>
                </c:pt>
                <c:pt idx="594">
                  <c:v>45827</c:v>
                </c:pt>
                <c:pt idx="595">
                  <c:v>45830</c:v>
                </c:pt>
                <c:pt idx="596">
                  <c:v>45831</c:v>
                </c:pt>
                <c:pt idx="597">
                  <c:v>45832</c:v>
                </c:pt>
                <c:pt idx="598">
                  <c:v>45833</c:v>
                </c:pt>
                <c:pt idx="599">
                  <c:v>45834</c:v>
                </c:pt>
                <c:pt idx="600">
                  <c:v>45837</c:v>
                </c:pt>
                <c:pt idx="601">
                  <c:v>45838</c:v>
                </c:pt>
                <c:pt idx="602">
                  <c:v>45839</c:v>
                </c:pt>
                <c:pt idx="603">
                  <c:v>45840</c:v>
                </c:pt>
                <c:pt idx="604">
                  <c:v>45844</c:v>
                </c:pt>
                <c:pt idx="605">
                  <c:v>45845</c:v>
                </c:pt>
                <c:pt idx="606">
                  <c:v>45846</c:v>
                </c:pt>
                <c:pt idx="607">
                  <c:v>45847</c:v>
                </c:pt>
                <c:pt idx="608">
                  <c:v>45848</c:v>
                </c:pt>
                <c:pt idx="609">
                  <c:v>45851</c:v>
                </c:pt>
                <c:pt idx="610">
                  <c:v>45852</c:v>
                </c:pt>
                <c:pt idx="611">
                  <c:v>45853</c:v>
                </c:pt>
                <c:pt idx="612">
                  <c:v>45854</c:v>
                </c:pt>
                <c:pt idx="613">
                  <c:v>45855</c:v>
                </c:pt>
                <c:pt idx="614">
                  <c:v>45859</c:v>
                </c:pt>
                <c:pt idx="615">
                  <c:v>45860</c:v>
                </c:pt>
                <c:pt idx="616">
                  <c:v>45861</c:v>
                </c:pt>
                <c:pt idx="617">
                  <c:v>45862</c:v>
                </c:pt>
                <c:pt idx="618">
                  <c:v>45865</c:v>
                </c:pt>
                <c:pt idx="619">
                  <c:v>45866</c:v>
                </c:pt>
                <c:pt idx="620">
                  <c:v>45867</c:v>
                </c:pt>
                <c:pt idx="621">
                  <c:v>45868</c:v>
                </c:pt>
                <c:pt idx="622">
                  <c:v>45869</c:v>
                </c:pt>
                <c:pt idx="623">
                  <c:v>45872</c:v>
                </c:pt>
                <c:pt idx="624">
                  <c:v>45873</c:v>
                </c:pt>
                <c:pt idx="625">
                  <c:v>45874</c:v>
                </c:pt>
                <c:pt idx="626">
                  <c:v>45875</c:v>
                </c:pt>
                <c:pt idx="627">
                  <c:v>45876</c:v>
                </c:pt>
                <c:pt idx="628">
                  <c:v>45879</c:v>
                </c:pt>
                <c:pt idx="629">
                  <c:v>45880</c:v>
                </c:pt>
                <c:pt idx="630">
                  <c:v>45881</c:v>
                </c:pt>
                <c:pt idx="631">
                  <c:v>45882</c:v>
                </c:pt>
                <c:pt idx="632">
                  <c:v>45883</c:v>
                </c:pt>
                <c:pt idx="633">
                  <c:v>45886</c:v>
                </c:pt>
                <c:pt idx="634">
                  <c:v>45887</c:v>
                </c:pt>
                <c:pt idx="635">
                  <c:v>45888</c:v>
                </c:pt>
                <c:pt idx="636">
                  <c:v>45889</c:v>
                </c:pt>
                <c:pt idx="637">
                  <c:v>45890</c:v>
                </c:pt>
                <c:pt idx="638">
                  <c:v>45893</c:v>
                </c:pt>
                <c:pt idx="639">
                  <c:v>45894</c:v>
                </c:pt>
                <c:pt idx="640">
                  <c:v>45895</c:v>
                </c:pt>
                <c:pt idx="641">
                  <c:v>45896</c:v>
                </c:pt>
                <c:pt idx="642">
                  <c:v>45897</c:v>
                </c:pt>
                <c:pt idx="643">
                  <c:v>45901</c:v>
                </c:pt>
                <c:pt idx="644">
                  <c:v>45902</c:v>
                </c:pt>
                <c:pt idx="645">
                  <c:v>45903</c:v>
                </c:pt>
                <c:pt idx="646">
                  <c:v>45904</c:v>
                </c:pt>
                <c:pt idx="647">
                  <c:v>45907</c:v>
                </c:pt>
                <c:pt idx="648">
                  <c:v>45908</c:v>
                </c:pt>
                <c:pt idx="649">
                  <c:v>45909</c:v>
                </c:pt>
                <c:pt idx="650">
                  <c:v>45910</c:v>
                </c:pt>
                <c:pt idx="651">
                  <c:v>45911</c:v>
                </c:pt>
                <c:pt idx="652">
                  <c:v>45914</c:v>
                </c:pt>
                <c:pt idx="653">
                  <c:v>45915</c:v>
                </c:pt>
                <c:pt idx="654">
                  <c:v>45916</c:v>
                </c:pt>
                <c:pt idx="655">
                  <c:v>45917</c:v>
                </c:pt>
                <c:pt idx="656">
                  <c:v>45918</c:v>
                </c:pt>
                <c:pt idx="657">
                  <c:v>45921</c:v>
                </c:pt>
                <c:pt idx="658">
                  <c:v>45922</c:v>
                </c:pt>
                <c:pt idx="659">
                  <c:v>45923</c:v>
                </c:pt>
                <c:pt idx="660">
                  <c:v>45924</c:v>
                </c:pt>
                <c:pt idx="661">
                  <c:v>45925</c:v>
                </c:pt>
                <c:pt idx="662">
                  <c:v>45928</c:v>
                </c:pt>
                <c:pt idx="663">
                  <c:v>45929</c:v>
                </c:pt>
                <c:pt idx="664">
                  <c:v>45930</c:v>
                </c:pt>
                <c:pt idx="665">
                  <c:v>45931</c:v>
                </c:pt>
                <c:pt idx="666">
                  <c:v>45932</c:v>
                </c:pt>
                <c:pt idx="667">
                  <c:v>45935</c:v>
                </c:pt>
                <c:pt idx="668">
                  <c:v>45936</c:v>
                </c:pt>
                <c:pt idx="669">
                  <c:v>45937</c:v>
                </c:pt>
                <c:pt idx="670">
                  <c:v>45938</c:v>
                </c:pt>
                <c:pt idx="671">
                  <c:v>45939</c:v>
                </c:pt>
                <c:pt idx="672">
                  <c:v>45943</c:v>
                </c:pt>
                <c:pt idx="673">
                  <c:v>45944</c:v>
                </c:pt>
                <c:pt idx="674">
                  <c:v>45945</c:v>
                </c:pt>
                <c:pt idx="675">
                  <c:v>45946</c:v>
                </c:pt>
                <c:pt idx="676">
                  <c:v>45949</c:v>
                </c:pt>
                <c:pt idx="677">
                  <c:v>45950</c:v>
                </c:pt>
                <c:pt idx="678">
                  <c:v>45951</c:v>
                </c:pt>
                <c:pt idx="679">
                  <c:v>45952</c:v>
                </c:pt>
                <c:pt idx="680">
                  <c:v>45953</c:v>
                </c:pt>
                <c:pt idx="681">
                  <c:v>45956</c:v>
                </c:pt>
                <c:pt idx="682">
                  <c:v>45957</c:v>
                </c:pt>
                <c:pt idx="683">
                  <c:v>45958</c:v>
                </c:pt>
                <c:pt idx="684">
                  <c:v>45959</c:v>
                </c:pt>
                <c:pt idx="685">
                  <c:v>45960</c:v>
                </c:pt>
                <c:pt idx="686">
                  <c:v>45963</c:v>
                </c:pt>
                <c:pt idx="687">
                  <c:v>45964</c:v>
                </c:pt>
                <c:pt idx="688">
                  <c:v>45965</c:v>
                </c:pt>
                <c:pt idx="689">
                  <c:v>45966</c:v>
                </c:pt>
                <c:pt idx="690">
                  <c:v>45967</c:v>
                </c:pt>
                <c:pt idx="691">
                  <c:v>45970</c:v>
                </c:pt>
                <c:pt idx="692">
                  <c:v>45972</c:v>
                </c:pt>
                <c:pt idx="693">
                  <c:v>45973</c:v>
                </c:pt>
                <c:pt idx="694">
                  <c:v>45974</c:v>
                </c:pt>
                <c:pt idx="695">
                  <c:v>45977</c:v>
                </c:pt>
                <c:pt idx="696">
                  <c:v>45978</c:v>
                </c:pt>
                <c:pt idx="697">
                  <c:v>45979</c:v>
                </c:pt>
                <c:pt idx="698">
                  <c:v>45980</c:v>
                </c:pt>
                <c:pt idx="699">
                  <c:v>45981</c:v>
                </c:pt>
                <c:pt idx="700">
                  <c:v>45984</c:v>
                </c:pt>
                <c:pt idx="701">
                  <c:v>45985</c:v>
                </c:pt>
                <c:pt idx="702">
                  <c:v>45986</c:v>
                </c:pt>
                <c:pt idx="703">
                  <c:v>45988</c:v>
                </c:pt>
                <c:pt idx="704">
                  <c:v>45991</c:v>
                </c:pt>
                <c:pt idx="705">
                  <c:v>45992</c:v>
                </c:pt>
                <c:pt idx="706">
                  <c:v>45993</c:v>
                </c:pt>
                <c:pt idx="707">
                  <c:v>45994</c:v>
                </c:pt>
                <c:pt idx="708">
                  <c:v>45995</c:v>
                </c:pt>
                <c:pt idx="709">
                  <c:v>45998</c:v>
                </c:pt>
                <c:pt idx="710">
                  <c:v>45999</c:v>
                </c:pt>
                <c:pt idx="711">
                  <c:v>46000</c:v>
                </c:pt>
                <c:pt idx="712">
                  <c:v>46001</c:v>
                </c:pt>
                <c:pt idx="713">
                  <c:v>46002</c:v>
                </c:pt>
                <c:pt idx="714">
                  <c:v>46005</c:v>
                </c:pt>
                <c:pt idx="715">
                  <c:v>46006</c:v>
                </c:pt>
                <c:pt idx="716">
                  <c:v>46007</c:v>
                </c:pt>
                <c:pt idx="717">
                  <c:v>46008</c:v>
                </c:pt>
                <c:pt idx="718">
                  <c:v>46009</c:v>
                </c:pt>
                <c:pt idx="719">
                  <c:v>46012</c:v>
                </c:pt>
              </c:numCache>
            </c:numRef>
          </c:cat>
          <c:val>
            <c:numRef>
              <c:f>Clean_Data!$E$2:$E$721</c:f>
              <c:numCache>
                <c:formatCode>General</c:formatCode>
                <c:ptCount val="720"/>
                <c:pt idx="0">
                  <c:v>6566</c:v>
                </c:pt>
                <c:pt idx="1">
                  <c:v>7122</c:v>
                </c:pt>
                <c:pt idx="2">
                  <c:v>7280</c:v>
                </c:pt>
                <c:pt idx="3">
                  <c:v>7433</c:v>
                </c:pt>
                <c:pt idx="4">
                  <c:v>7538</c:v>
                </c:pt>
                <c:pt idx="5">
                  <c:v>7472</c:v>
                </c:pt>
                <c:pt idx="6">
                  <c:v>7743</c:v>
                </c:pt>
                <c:pt idx="7">
                  <c:v>7803</c:v>
                </c:pt>
                <c:pt idx="8">
                  <c:v>7903</c:v>
                </c:pt>
                <c:pt idx="9">
                  <c:v>7879</c:v>
                </c:pt>
                <c:pt idx="10">
                  <c:v>7586</c:v>
                </c:pt>
                <c:pt idx="11">
                  <c:v>7720</c:v>
                </c:pt>
                <c:pt idx="12">
                  <c:v>7855</c:v>
                </c:pt>
                <c:pt idx="13">
                  <c:v>7915</c:v>
                </c:pt>
                <c:pt idx="14">
                  <c:v>7908</c:v>
                </c:pt>
                <c:pt idx="15">
                  <c:v>7434</c:v>
                </c:pt>
                <c:pt idx="16">
                  <c:v>7483</c:v>
                </c:pt>
                <c:pt idx="17">
                  <c:v>7794</c:v>
                </c:pt>
                <c:pt idx="18">
                  <c:v>7869</c:v>
                </c:pt>
                <c:pt idx="19">
                  <c:v>7793</c:v>
                </c:pt>
                <c:pt idx="20">
                  <c:v>7817</c:v>
                </c:pt>
                <c:pt idx="21">
                  <c:v>7967</c:v>
                </c:pt>
                <c:pt idx="22">
                  <c:v>7978</c:v>
                </c:pt>
                <c:pt idx="23">
                  <c:v>7914</c:v>
                </c:pt>
                <c:pt idx="24">
                  <c:v>7609</c:v>
                </c:pt>
                <c:pt idx="25">
                  <c:v>7800</c:v>
                </c:pt>
                <c:pt idx="26">
                  <c:v>7896</c:v>
                </c:pt>
                <c:pt idx="27">
                  <c:v>7930</c:v>
                </c:pt>
                <c:pt idx="28">
                  <c:v>7870</c:v>
                </c:pt>
                <c:pt idx="29">
                  <c:v>7859</c:v>
                </c:pt>
                <c:pt idx="30">
                  <c:v>7885</c:v>
                </c:pt>
                <c:pt idx="31">
                  <c:v>7786</c:v>
                </c:pt>
                <c:pt idx="32">
                  <c:v>7567</c:v>
                </c:pt>
                <c:pt idx="33">
                  <c:v>7810</c:v>
                </c:pt>
                <c:pt idx="34">
                  <c:v>7915</c:v>
                </c:pt>
                <c:pt idx="35">
                  <c:v>7989</c:v>
                </c:pt>
                <c:pt idx="36">
                  <c:v>7885</c:v>
                </c:pt>
                <c:pt idx="37">
                  <c:v>7931</c:v>
                </c:pt>
                <c:pt idx="38">
                  <c:v>8050</c:v>
                </c:pt>
                <c:pt idx="39">
                  <c:v>8097</c:v>
                </c:pt>
                <c:pt idx="40">
                  <c:v>8102</c:v>
                </c:pt>
                <c:pt idx="41">
                  <c:v>7847</c:v>
                </c:pt>
                <c:pt idx="42">
                  <c:v>7994</c:v>
                </c:pt>
                <c:pt idx="43">
                  <c:v>8079</c:v>
                </c:pt>
                <c:pt idx="44">
                  <c:v>8208</c:v>
                </c:pt>
                <c:pt idx="45">
                  <c:v>8158</c:v>
                </c:pt>
                <c:pt idx="46">
                  <c:v>7981</c:v>
                </c:pt>
                <c:pt idx="47">
                  <c:v>8054</c:v>
                </c:pt>
                <c:pt idx="48">
                  <c:v>8068</c:v>
                </c:pt>
                <c:pt idx="49">
                  <c:v>8175</c:v>
                </c:pt>
                <c:pt idx="50">
                  <c:v>8178</c:v>
                </c:pt>
                <c:pt idx="51">
                  <c:v>7900</c:v>
                </c:pt>
                <c:pt idx="52">
                  <c:v>7826</c:v>
                </c:pt>
                <c:pt idx="53">
                  <c:v>7922</c:v>
                </c:pt>
                <c:pt idx="54">
                  <c:v>7876</c:v>
                </c:pt>
                <c:pt idx="55">
                  <c:v>7795</c:v>
                </c:pt>
                <c:pt idx="56">
                  <c:v>7380</c:v>
                </c:pt>
                <c:pt idx="57">
                  <c:v>7344</c:v>
                </c:pt>
                <c:pt idx="58">
                  <c:v>7376</c:v>
                </c:pt>
                <c:pt idx="59">
                  <c:v>7356</c:v>
                </c:pt>
                <c:pt idx="60">
                  <c:v>7490</c:v>
                </c:pt>
                <c:pt idx="61">
                  <c:v>7534</c:v>
                </c:pt>
                <c:pt idx="62">
                  <c:v>7796</c:v>
                </c:pt>
                <c:pt idx="63">
                  <c:v>8017</c:v>
                </c:pt>
                <c:pt idx="64">
                  <c:v>8117</c:v>
                </c:pt>
                <c:pt idx="65">
                  <c:v>8159</c:v>
                </c:pt>
                <c:pt idx="66">
                  <c:v>8352</c:v>
                </c:pt>
                <c:pt idx="67">
                  <c:v>8492</c:v>
                </c:pt>
                <c:pt idx="68">
                  <c:v>8654</c:v>
                </c:pt>
                <c:pt idx="69">
                  <c:v>8704</c:v>
                </c:pt>
                <c:pt idx="70">
                  <c:v>8790</c:v>
                </c:pt>
                <c:pt idx="71">
                  <c:v>8485</c:v>
                </c:pt>
                <c:pt idx="72">
                  <c:v>8590</c:v>
                </c:pt>
                <c:pt idx="73">
                  <c:v>8606</c:v>
                </c:pt>
                <c:pt idx="74">
                  <c:v>8681</c:v>
                </c:pt>
                <c:pt idx="75">
                  <c:v>8672</c:v>
                </c:pt>
                <c:pt idx="76">
                  <c:v>8445</c:v>
                </c:pt>
                <c:pt idx="77">
                  <c:v>8571</c:v>
                </c:pt>
                <c:pt idx="78">
                  <c:v>8572</c:v>
                </c:pt>
                <c:pt idx="79">
                  <c:v>8569</c:v>
                </c:pt>
                <c:pt idx="80">
                  <c:v>8474</c:v>
                </c:pt>
                <c:pt idx="81">
                  <c:v>7826</c:v>
                </c:pt>
                <c:pt idx="82">
                  <c:v>7848</c:v>
                </c:pt>
                <c:pt idx="83">
                  <c:v>7788</c:v>
                </c:pt>
                <c:pt idx="84">
                  <c:v>7709</c:v>
                </c:pt>
                <c:pt idx="85">
                  <c:v>7546</c:v>
                </c:pt>
                <c:pt idx="86">
                  <c:v>6996</c:v>
                </c:pt>
                <c:pt idx="87">
                  <c:v>7046</c:v>
                </c:pt>
                <c:pt idx="88">
                  <c:v>7053</c:v>
                </c:pt>
                <c:pt idx="89">
                  <c:v>7002</c:v>
                </c:pt>
                <c:pt idx="90">
                  <c:v>6555</c:v>
                </c:pt>
                <c:pt idx="91">
                  <c:v>6523</c:v>
                </c:pt>
                <c:pt idx="92">
                  <c:v>6508</c:v>
                </c:pt>
                <c:pt idx="93">
                  <c:v>6483</c:v>
                </c:pt>
                <c:pt idx="94">
                  <c:v>6446</c:v>
                </c:pt>
                <c:pt idx="95">
                  <c:v>6007</c:v>
                </c:pt>
                <c:pt idx="96">
                  <c:v>6021</c:v>
                </c:pt>
                <c:pt idx="97">
                  <c:v>6061</c:v>
                </c:pt>
                <c:pt idx="98">
                  <c:v>6065</c:v>
                </c:pt>
                <c:pt idx="99">
                  <c:v>6038</c:v>
                </c:pt>
                <c:pt idx="100">
                  <c:v>5679</c:v>
                </c:pt>
                <c:pt idx="101">
                  <c:v>5904</c:v>
                </c:pt>
                <c:pt idx="102">
                  <c:v>5922</c:v>
                </c:pt>
                <c:pt idx="103">
                  <c:v>5956</c:v>
                </c:pt>
                <c:pt idx="104">
                  <c:v>5766</c:v>
                </c:pt>
                <c:pt idx="105">
                  <c:v>5819</c:v>
                </c:pt>
                <c:pt idx="106">
                  <c:v>5917</c:v>
                </c:pt>
                <c:pt idx="107">
                  <c:v>5999</c:v>
                </c:pt>
                <c:pt idx="108">
                  <c:v>6058</c:v>
                </c:pt>
                <c:pt idx="109">
                  <c:v>5903</c:v>
                </c:pt>
                <c:pt idx="110">
                  <c:v>6127</c:v>
                </c:pt>
                <c:pt idx="111">
                  <c:v>6193</c:v>
                </c:pt>
                <c:pt idx="112">
                  <c:v>6239</c:v>
                </c:pt>
                <c:pt idx="113">
                  <c:v>6214</c:v>
                </c:pt>
                <c:pt idx="114">
                  <c:v>6346</c:v>
                </c:pt>
                <c:pt idx="115">
                  <c:v>6498</c:v>
                </c:pt>
                <c:pt idx="116">
                  <c:v>6521</c:v>
                </c:pt>
                <c:pt idx="117">
                  <c:v>6604</c:v>
                </c:pt>
                <c:pt idx="118">
                  <c:v>6468</c:v>
                </c:pt>
                <c:pt idx="119">
                  <c:v>6632</c:v>
                </c:pt>
                <c:pt idx="120">
                  <c:v>6874</c:v>
                </c:pt>
                <c:pt idx="121">
                  <c:v>7001</c:v>
                </c:pt>
                <c:pt idx="122">
                  <c:v>7116</c:v>
                </c:pt>
                <c:pt idx="123">
                  <c:v>7052</c:v>
                </c:pt>
                <c:pt idx="124">
                  <c:v>7220</c:v>
                </c:pt>
                <c:pt idx="125">
                  <c:v>7510</c:v>
                </c:pt>
                <c:pt idx="126">
                  <c:v>7647</c:v>
                </c:pt>
                <c:pt idx="127">
                  <c:v>7754</c:v>
                </c:pt>
                <c:pt idx="128">
                  <c:v>7671</c:v>
                </c:pt>
                <c:pt idx="129">
                  <c:v>7800</c:v>
                </c:pt>
                <c:pt idx="130">
                  <c:v>8103</c:v>
                </c:pt>
                <c:pt idx="131">
                  <c:v>8261</c:v>
                </c:pt>
                <c:pt idx="132">
                  <c:v>8294</c:v>
                </c:pt>
                <c:pt idx="133">
                  <c:v>8298</c:v>
                </c:pt>
                <c:pt idx="134">
                  <c:v>8493</c:v>
                </c:pt>
                <c:pt idx="135">
                  <c:v>8725</c:v>
                </c:pt>
                <c:pt idx="136">
                  <c:v>8888</c:v>
                </c:pt>
                <c:pt idx="137">
                  <c:v>8914</c:v>
                </c:pt>
                <c:pt idx="138">
                  <c:v>9634</c:v>
                </c:pt>
                <c:pt idx="139">
                  <c:v>9694</c:v>
                </c:pt>
                <c:pt idx="140">
                  <c:v>9483</c:v>
                </c:pt>
                <c:pt idx="141">
                  <c:v>9668</c:v>
                </c:pt>
                <c:pt idx="142">
                  <c:v>9921</c:v>
                </c:pt>
                <c:pt idx="143">
                  <c:v>10071</c:v>
                </c:pt>
                <c:pt idx="144">
                  <c:v>10026</c:v>
                </c:pt>
                <c:pt idx="145">
                  <c:v>9873</c:v>
                </c:pt>
                <c:pt idx="146">
                  <c:v>10012</c:v>
                </c:pt>
                <c:pt idx="147">
                  <c:v>10180</c:v>
                </c:pt>
                <c:pt idx="148">
                  <c:v>10280</c:v>
                </c:pt>
                <c:pt idx="149">
                  <c:v>10140</c:v>
                </c:pt>
                <c:pt idx="150">
                  <c:v>9988</c:v>
                </c:pt>
                <c:pt idx="151">
                  <c:v>10142</c:v>
                </c:pt>
                <c:pt idx="152">
                  <c:v>10356</c:v>
                </c:pt>
                <c:pt idx="153">
                  <c:v>10419</c:v>
                </c:pt>
                <c:pt idx="154">
                  <c:v>10282</c:v>
                </c:pt>
                <c:pt idx="155">
                  <c:v>10492</c:v>
                </c:pt>
                <c:pt idx="156">
                  <c:v>10649</c:v>
                </c:pt>
                <c:pt idx="157">
                  <c:v>10678</c:v>
                </c:pt>
                <c:pt idx="158">
                  <c:v>10837</c:v>
                </c:pt>
                <c:pt idx="159">
                  <c:v>10799</c:v>
                </c:pt>
                <c:pt idx="160">
                  <c:v>10892</c:v>
                </c:pt>
                <c:pt idx="161">
                  <c:v>11095</c:v>
                </c:pt>
                <c:pt idx="162">
                  <c:v>11064</c:v>
                </c:pt>
                <c:pt idx="163">
                  <c:v>11067</c:v>
                </c:pt>
                <c:pt idx="164">
                  <c:v>10744</c:v>
                </c:pt>
                <c:pt idx="165">
                  <c:v>10842</c:v>
                </c:pt>
                <c:pt idx="166">
                  <c:v>10978</c:v>
                </c:pt>
                <c:pt idx="167">
                  <c:v>11017</c:v>
                </c:pt>
                <c:pt idx="168">
                  <c:v>10984</c:v>
                </c:pt>
                <c:pt idx="169">
                  <c:v>10598</c:v>
                </c:pt>
                <c:pt idx="170">
                  <c:v>10724</c:v>
                </c:pt>
                <c:pt idx="171">
                  <c:v>10818</c:v>
                </c:pt>
                <c:pt idx="172">
                  <c:v>10963</c:v>
                </c:pt>
                <c:pt idx="173">
                  <c:v>11130</c:v>
                </c:pt>
                <c:pt idx="174">
                  <c:v>10815</c:v>
                </c:pt>
                <c:pt idx="175">
                  <c:v>10910</c:v>
                </c:pt>
                <c:pt idx="176">
                  <c:v>10960</c:v>
                </c:pt>
                <c:pt idx="177">
                  <c:v>10992</c:v>
                </c:pt>
                <c:pt idx="178">
                  <c:v>10571</c:v>
                </c:pt>
                <c:pt idx="179">
                  <c:v>10629</c:v>
                </c:pt>
                <c:pt idx="180">
                  <c:v>10630</c:v>
                </c:pt>
                <c:pt idx="181">
                  <c:v>10511</c:v>
                </c:pt>
                <c:pt idx="182">
                  <c:v>10319</c:v>
                </c:pt>
                <c:pt idx="183">
                  <c:v>9506</c:v>
                </c:pt>
                <c:pt idx="184">
                  <c:v>9436</c:v>
                </c:pt>
                <c:pt idx="185">
                  <c:v>9396</c:v>
                </c:pt>
                <c:pt idx="186">
                  <c:v>9351</c:v>
                </c:pt>
                <c:pt idx="187">
                  <c:v>9235</c:v>
                </c:pt>
                <c:pt idx="188">
                  <c:v>8925</c:v>
                </c:pt>
                <c:pt idx="189">
                  <c:v>9026</c:v>
                </c:pt>
                <c:pt idx="190">
                  <c:v>9072</c:v>
                </c:pt>
                <c:pt idx="191">
                  <c:v>9250</c:v>
                </c:pt>
                <c:pt idx="192">
                  <c:v>9442</c:v>
                </c:pt>
                <c:pt idx="193">
                  <c:v>9273</c:v>
                </c:pt>
                <c:pt idx="194">
                  <c:v>9286</c:v>
                </c:pt>
                <c:pt idx="195">
                  <c:v>9483</c:v>
                </c:pt>
                <c:pt idx="196">
                  <c:v>9634</c:v>
                </c:pt>
                <c:pt idx="197">
                  <c:v>9477</c:v>
                </c:pt>
                <c:pt idx="198">
                  <c:v>9510</c:v>
                </c:pt>
                <c:pt idx="199">
                  <c:v>9665</c:v>
                </c:pt>
                <c:pt idx="200">
                  <c:v>9762</c:v>
                </c:pt>
                <c:pt idx="201">
                  <c:v>9762</c:v>
                </c:pt>
                <c:pt idx="202">
                  <c:v>9573</c:v>
                </c:pt>
                <c:pt idx="203">
                  <c:v>9638</c:v>
                </c:pt>
                <c:pt idx="204">
                  <c:v>9804</c:v>
                </c:pt>
                <c:pt idx="205">
                  <c:v>9838</c:v>
                </c:pt>
                <c:pt idx="206">
                  <c:v>9845</c:v>
                </c:pt>
                <c:pt idx="207">
                  <c:v>10123</c:v>
                </c:pt>
                <c:pt idx="208">
                  <c:v>10223</c:v>
                </c:pt>
                <c:pt idx="209">
                  <c:v>10398</c:v>
                </c:pt>
                <c:pt idx="210">
                  <c:v>10536</c:v>
                </c:pt>
                <c:pt idx="211">
                  <c:v>10579</c:v>
                </c:pt>
                <c:pt idx="212">
                  <c:v>10635</c:v>
                </c:pt>
                <c:pt idx="213">
                  <c:v>10761</c:v>
                </c:pt>
                <c:pt idx="214">
                  <c:v>10832</c:v>
                </c:pt>
                <c:pt idx="215">
                  <c:v>10897</c:v>
                </c:pt>
                <c:pt idx="216">
                  <c:v>10871</c:v>
                </c:pt>
                <c:pt idx="217">
                  <c:v>10998</c:v>
                </c:pt>
                <c:pt idx="218">
                  <c:v>11077</c:v>
                </c:pt>
                <c:pt idx="219">
                  <c:v>11192</c:v>
                </c:pt>
                <c:pt idx="220">
                  <c:v>11242</c:v>
                </c:pt>
                <c:pt idx="221">
                  <c:v>11092</c:v>
                </c:pt>
                <c:pt idx="222">
                  <c:v>11149</c:v>
                </c:pt>
                <c:pt idx="223">
                  <c:v>11291</c:v>
                </c:pt>
                <c:pt idx="224">
                  <c:v>11516</c:v>
                </c:pt>
                <c:pt idx="225">
                  <c:v>11375</c:v>
                </c:pt>
                <c:pt idx="226">
                  <c:v>11144</c:v>
                </c:pt>
                <c:pt idx="227">
                  <c:v>11217</c:v>
                </c:pt>
                <c:pt idx="228">
                  <c:v>11206</c:v>
                </c:pt>
                <c:pt idx="229">
                  <c:v>11230</c:v>
                </c:pt>
                <c:pt idx="230">
                  <c:v>10870</c:v>
                </c:pt>
                <c:pt idx="231">
                  <c:v>10770</c:v>
                </c:pt>
                <c:pt idx="232">
                  <c:v>10718</c:v>
                </c:pt>
                <c:pt idx="233">
                  <c:v>10558</c:v>
                </c:pt>
                <c:pt idx="234">
                  <c:v>9670</c:v>
                </c:pt>
                <c:pt idx="235">
                  <c:v>9670</c:v>
                </c:pt>
                <c:pt idx="236">
                  <c:v>9311</c:v>
                </c:pt>
                <c:pt idx="237">
                  <c:v>9144</c:v>
                </c:pt>
                <c:pt idx="238">
                  <c:v>8829</c:v>
                </c:pt>
                <c:pt idx="239">
                  <c:v>8033</c:v>
                </c:pt>
                <c:pt idx="240">
                  <c:v>8133</c:v>
                </c:pt>
                <c:pt idx="241">
                  <c:v>8072</c:v>
                </c:pt>
                <c:pt idx="242">
                  <c:v>8042</c:v>
                </c:pt>
                <c:pt idx="243">
                  <c:v>7974</c:v>
                </c:pt>
                <c:pt idx="244">
                  <c:v>8008</c:v>
                </c:pt>
                <c:pt idx="245">
                  <c:v>8133</c:v>
                </c:pt>
                <c:pt idx="246">
                  <c:v>8212</c:v>
                </c:pt>
                <c:pt idx="247">
                  <c:v>8180</c:v>
                </c:pt>
                <c:pt idx="248">
                  <c:v>8004</c:v>
                </c:pt>
                <c:pt idx="249">
                  <c:v>8057</c:v>
                </c:pt>
                <c:pt idx="250">
                  <c:v>8182</c:v>
                </c:pt>
                <c:pt idx="251">
                  <c:v>8153</c:v>
                </c:pt>
                <c:pt idx="252">
                  <c:v>8026</c:v>
                </c:pt>
                <c:pt idx="253">
                  <c:v>7813</c:v>
                </c:pt>
                <c:pt idx="254">
                  <c:v>7872</c:v>
                </c:pt>
                <c:pt idx="255">
                  <c:v>8045</c:v>
                </c:pt>
                <c:pt idx="256">
                  <c:v>8160</c:v>
                </c:pt>
                <c:pt idx="257">
                  <c:v>8188</c:v>
                </c:pt>
                <c:pt idx="258">
                  <c:v>8056</c:v>
                </c:pt>
                <c:pt idx="259">
                  <c:v>8092</c:v>
                </c:pt>
                <c:pt idx="260">
                  <c:v>8348</c:v>
                </c:pt>
                <c:pt idx="261">
                  <c:v>8512</c:v>
                </c:pt>
                <c:pt idx="262">
                  <c:v>8463</c:v>
                </c:pt>
                <c:pt idx="263">
                  <c:v>8380</c:v>
                </c:pt>
                <c:pt idx="264">
                  <c:v>8488</c:v>
                </c:pt>
                <c:pt idx="265">
                  <c:v>8573</c:v>
                </c:pt>
                <c:pt idx="266">
                  <c:v>8607</c:v>
                </c:pt>
                <c:pt idx="267">
                  <c:v>8404</c:v>
                </c:pt>
                <c:pt idx="268">
                  <c:v>8404</c:v>
                </c:pt>
                <c:pt idx="269">
                  <c:v>8650</c:v>
                </c:pt>
                <c:pt idx="270">
                  <c:v>8699</c:v>
                </c:pt>
                <c:pt idx="271">
                  <c:v>8724</c:v>
                </c:pt>
                <c:pt idx="272">
                  <c:v>8594</c:v>
                </c:pt>
                <c:pt idx="273">
                  <c:v>8660</c:v>
                </c:pt>
                <c:pt idx="274">
                  <c:v>8800</c:v>
                </c:pt>
                <c:pt idx="275">
                  <c:v>8870</c:v>
                </c:pt>
                <c:pt idx="276">
                  <c:v>8902</c:v>
                </c:pt>
                <c:pt idx="277">
                  <c:v>8714</c:v>
                </c:pt>
                <c:pt idx="278">
                  <c:v>8757</c:v>
                </c:pt>
                <c:pt idx="279">
                  <c:v>8843</c:v>
                </c:pt>
                <c:pt idx="280">
                  <c:v>8819</c:v>
                </c:pt>
                <c:pt idx="281">
                  <c:v>8695</c:v>
                </c:pt>
                <c:pt idx="282">
                  <c:v>8373</c:v>
                </c:pt>
                <c:pt idx="283">
                  <c:v>8333</c:v>
                </c:pt>
                <c:pt idx="284">
                  <c:v>8390</c:v>
                </c:pt>
                <c:pt idx="285">
                  <c:v>8365</c:v>
                </c:pt>
                <c:pt idx="286">
                  <c:v>8292</c:v>
                </c:pt>
                <c:pt idx="287">
                  <c:v>7899</c:v>
                </c:pt>
                <c:pt idx="288">
                  <c:v>7899</c:v>
                </c:pt>
                <c:pt idx="289">
                  <c:v>7919</c:v>
                </c:pt>
                <c:pt idx="290">
                  <c:v>7893</c:v>
                </c:pt>
                <c:pt idx="291">
                  <c:v>7762</c:v>
                </c:pt>
                <c:pt idx="292">
                  <c:v>7257</c:v>
                </c:pt>
                <c:pt idx="293">
                  <c:v>7271</c:v>
                </c:pt>
                <c:pt idx="294">
                  <c:v>7340</c:v>
                </c:pt>
                <c:pt idx="295">
                  <c:v>7346</c:v>
                </c:pt>
                <c:pt idx="296">
                  <c:v>7317</c:v>
                </c:pt>
                <c:pt idx="297">
                  <c:v>6982</c:v>
                </c:pt>
                <c:pt idx="298">
                  <c:v>6988</c:v>
                </c:pt>
                <c:pt idx="299">
                  <c:v>7043</c:v>
                </c:pt>
                <c:pt idx="300">
                  <c:v>6999</c:v>
                </c:pt>
                <c:pt idx="301">
                  <c:v>6912</c:v>
                </c:pt>
                <c:pt idx="302">
                  <c:v>6630</c:v>
                </c:pt>
                <c:pt idx="303">
                  <c:v>6681</c:v>
                </c:pt>
                <c:pt idx="304">
                  <c:v>6685</c:v>
                </c:pt>
                <c:pt idx="305">
                  <c:v>6725</c:v>
                </c:pt>
                <c:pt idx="306">
                  <c:v>6728</c:v>
                </c:pt>
                <c:pt idx="307">
                  <c:v>6745</c:v>
                </c:pt>
                <c:pt idx="308">
                  <c:v>6799</c:v>
                </c:pt>
                <c:pt idx="309">
                  <c:v>6967</c:v>
                </c:pt>
                <c:pt idx="310">
                  <c:v>7128</c:v>
                </c:pt>
                <c:pt idx="311">
                  <c:v>7209</c:v>
                </c:pt>
                <c:pt idx="312">
                  <c:v>7298</c:v>
                </c:pt>
                <c:pt idx="313">
                  <c:v>7373</c:v>
                </c:pt>
                <c:pt idx="314">
                  <c:v>7431</c:v>
                </c:pt>
                <c:pt idx="315">
                  <c:v>7508</c:v>
                </c:pt>
                <c:pt idx="316">
                  <c:v>7577</c:v>
                </c:pt>
                <c:pt idx="317">
                  <c:v>7447</c:v>
                </c:pt>
                <c:pt idx="318">
                  <c:v>7449</c:v>
                </c:pt>
                <c:pt idx="319">
                  <c:v>7566</c:v>
                </c:pt>
                <c:pt idx="320">
                  <c:v>7583</c:v>
                </c:pt>
                <c:pt idx="321">
                  <c:v>7570</c:v>
                </c:pt>
                <c:pt idx="322">
                  <c:v>7464</c:v>
                </c:pt>
                <c:pt idx="323">
                  <c:v>7499</c:v>
                </c:pt>
                <c:pt idx="324">
                  <c:v>7546</c:v>
                </c:pt>
                <c:pt idx="325">
                  <c:v>7589</c:v>
                </c:pt>
                <c:pt idx="326">
                  <c:v>7565</c:v>
                </c:pt>
                <c:pt idx="327">
                  <c:v>7356</c:v>
                </c:pt>
                <c:pt idx="328">
                  <c:v>7368</c:v>
                </c:pt>
                <c:pt idx="329">
                  <c:v>7404</c:v>
                </c:pt>
                <c:pt idx="330">
                  <c:v>7474</c:v>
                </c:pt>
                <c:pt idx="331">
                  <c:v>7494</c:v>
                </c:pt>
                <c:pt idx="332">
                  <c:v>7365</c:v>
                </c:pt>
                <c:pt idx="333">
                  <c:v>7418</c:v>
                </c:pt>
                <c:pt idx="334">
                  <c:v>7491</c:v>
                </c:pt>
                <c:pt idx="335">
                  <c:v>7563</c:v>
                </c:pt>
                <c:pt idx="336">
                  <c:v>7546</c:v>
                </c:pt>
                <c:pt idx="337">
                  <c:v>7596</c:v>
                </c:pt>
                <c:pt idx="338">
                  <c:v>7565</c:v>
                </c:pt>
                <c:pt idx="339">
                  <c:v>7691</c:v>
                </c:pt>
                <c:pt idx="340">
                  <c:v>7741</c:v>
                </c:pt>
                <c:pt idx="341">
                  <c:v>7451</c:v>
                </c:pt>
                <c:pt idx="342">
                  <c:v>7439</c:v>
                </c:pt>
                <c:pt idx="343">
                  <c:v>7493</c:v>
                </c:pt>
                <c:pt idx="344">
                  <c:v>7548</c:v>
                </c:pt>
                <c:pt idx="345">
                  <c:v>7544</c:v>
                </c:pt>
                <c:pt idx="346">
                  <c:v>7307</c:v>
                </c:pt>
                <c:pt idx="347">
                  <c:v>7318</c:v>
                </c:pt>
                <c:pt idx="348">
                  <c:v>7340</c:v>
                </c:pt>
                <c:pt idx="349">
                  <c:v>7433</c:v>
                </c:pt>
                <c:pt idx="350">
                  <c:v>7431</c:v>
                </c:pt>
                <c:pt idx="351">
                  <c:v>7247</c:v>
                </c:pt>
                <c:pt idx="352">
                  <c:v>7239</c:v>
                </c:pt>
                <c:pt idx="353">
                  <c:v>7239</c:v>
                </c:pt>
                <c:pt idx="354">
                  <c:v>7268</c:v>
                </c:pt>
                <c:pt idx="355">
                  <c:v>7248</c:v>
                </c:pt>
                <c:pt idx="356">
                  <c:v>6874</c:v>
                </c:pt>
                <c:pt idx="357">
                  <c:v>6825</c:v>
                </c:pt>
                <c:pt idx="358">
                  <c:v>6823</c:v>
                </c:pt>
                <c:pt idx="359">
                  <c:v>6790</c:v>
                </c:pt>
                <c:pt idx="360">
                  <c:v>6599</c:v>
                </c:pt>
                <c:pt idx="361">
                  <c:v>6617</c:v>
                </c:pt>
                <c:pt idx="362">
                  <c:v>6651</c:v>
                </c:pt>
                <c:pt idx="363">
                  <c:v>6649</c:v>
                </c:pt>
                <c:pt idx="364">
                  <c:v>6640</c:v>
                </c:pt>
                <c:pt idx="365">
                  <c:v>6308</c:v>
                </c:pt>
                <c:pt idx="366">
                  <c:v>6283</c:v>
                </c:pt>
                <c:pt idx="367">
                  <c:v>6239</c:v>
                </c:pt>
                <c:pt idx="368">
                  <c:v>6228</c:v>
                </c:pt>
                <c:pt idx="369">
                  <c:v>6058</c:v>
                </c:pt>
                <c:pt idx="370">
                  <c:v>6002</c:v>
                </c:pt>
                <c:pt idx="371">
                  <c:v>5965</c:v>
                </c:pt>
                <c:pt idx="372">
                  <c:v>5927</c:v>
                </c:pt>
                <c:pt idx="373">
                  <c:v>5954</c:v>
                </c:pt>
                <c:pt idx="374">
                  <c:v>5743</c:v>
                </c:pt>
                <c:pt idx="375">
                  <c:v>5819</c:v>
                </c:pt>
                <c:pt idx="376">
                  <c:v>5930</c:v>
                </c:pt>
                <c:pt idx="377">
                  <c:v>5963</c:v>
                </c:pt>
                <c:pt idx="378">
                  <c:v>6016</c:v>
                </c:pt>
                <c:pt idx="379">
                  <c:v>5943</c:v>
                </c:pt>
                <c:pt idx="380">
                  <c:v>5950</c:v>
                </c:pt>
                <c:pt idx="381">
                  <c:v>5998</c:v>
                </c:pt>
                <c:pt idx="382">
                  <c:v>6038</c:v>
                </c:pt>
                <c:pt idx="383">
                  <c:v>6084</c:v>
                </c:pt>
                <c:pt idx="384">
                  <c:v>5894</c:v>
                </c:pt>
                <c:pt idx="385">
                  <c:v>5903</c:v>
                </c:pt>
                <c:pt idx="386">
                  <c:v>5981</c:v>
                </c:pt>
                <c:pt idx="387">
                  <c:v>5987</c:v>
                </c:pt>
                <c:pt idx="388">
                  <c:v>5895</c:v>
                </c:pt>
                <c:pt idx="389">
                  <c:v>5821</c:v>
                </c:pt>
                <c:pt idx="390">
                  <c:v>5865</c:v>
                </c:pt>
                <c:pt idx="391">
                  <c:v>5995</c:v>
                </c:pt>
                <c:pt idx="392">
                  <c:v>6028</c:v>
                </c:pt>
                <c:pt idx="393">
                  <c:v>6054</c:v>
                </c:pt>
                <c:pt idx="394">
                  <c:v>6152</c:v>
                </c:pt>
                <c:pt idx="395">
                  <c:v>6227</c:v>
                </c:pt>
                <c:pt idx="396">
                  <c:v>6250</c:v>
                </c:pt>
                <c:pt idx="397">
                  <c:v>6192</c:v>
                </c:pt>
                <c:pt idx="398">
                  <c:v>6272</c:v>
                </c:pt>
                <c:pt idx="399">
                  <c:v>6375</c:v>
                </c:pt>
                <c:pt idx="400">
                  <c:v>6448</c:v>
                </c:pt>
                <c:pt idx="401">
                  <c:v>6312</c:v>
                </c:pt>
                <c:pt idx="402">
                  <c:v>6353</c:v>
                </c:pt>
                <c:pt idx="403">
                  <c:v>6396</c:v>
                </c:pt>
                <c:pt idx="404">
                  <c:v>6410</c:v>
                </c:pt>
                <c:pt idx="405">
                  <c:v>6360</c:v>
                </c:pt>
                <c:pt idx="406">
                  <c:v>6326</c:v>
                </c:pt>
                <c:pt idx="407">
                  <c:v>6234</c:v>
                </c:pt>
                <c:pt idx="408">
                  <c:v>6229</c:v>
                </c:pt>
                <c:pt idx="409">
                  <c:v>6227</c:v>
                </c:pt>
                <c:pt idx="410">
                  <c:v>6245</c:v>
                </c:pt>
                <c:pt idx="411">
                  <c:v>6270</c:v>
                </c:pt>
                <c:pt idx="412">
                  <c:v>5989</c:v>
                </c:pt>
                <c:pt idx="413">
                  <c:v>6002</c:v>
                </c:pt>
                <c:pt idx="414">
                  <c:v>6023</c:v>
                </c:pt>
                <c:pt idx="415">
                  <c:v>6050</c:v>
                </c:pt>
                <c:pt idx="416">
                  <c:v>6090</c:v>
                </c:pt>
                <c:pt idx="417">
                  <c:v>5925</c:v>
                </c:pt>
                <c:pt idx="418">
                  <c:v>5967</c:v>
                </c:pt>
                <c:pt idx="419">
                  <c:v>6040</c:v>
                </c:pt>
                <c:pt idx="420">
                  <c:v>6091</c:v>
                </c:pt>
                <c:pt idx="421">
                  <c:v>6118</c:v>
                </c:pt>
                <c:pt idx="422">
                  <c:v>5968</c:v>
                </c:pt>
                <c:pt idx="423">
                  <c:v>6013</c:v>
                </c:pt>
                <c:pt idx="424">
                  <c:v>6047</c:v>
                </c:pt>
                <c:pt idx="425">
                  <c:v>6075</c:v>
                </c:pt>
                <c:pt idx="426">
                  <c:v>5889</c:v>
                </c:pt>
                <c:pt idx="427">
                  <c:v>5935</c:v>
                </c:pt>
                <c:pt idx="428">
                  <c:v>6013</c:v>
                </c:pt>
                <c:pt idx="429">
                  <c:v>6036</c:v>
                </c:pt>
                <c:pt idx="430">
                  <c:v>6076</c:v>
                </c:pt>
                <c:pt idx="431">
                  <c:v>5918</c:v>
                </c:pt>
                <c:pt idx="432">
                  <c:v>5966</c:v>
                </c:pt>
                <c:pt idx="433">
                  <c:v>6043</c:v>
                </c:pt>
                <c:pt idx="434">
                  <c:v>6077</c:v>
                </c:pt>
                <c:pt idx="435">
                  <c:v>5974</c:v>
                </c:pt>
                <c:pt idx="436">
                  <c:v>6008</c:v>
                </c:pt>
                <c:pt idx="437">
                  <c:v>6106</c:v>
                </c:pt>
                <c:pt idx="438">
                  <c:v>6149</c:v>
                </c:pt>
                <c:pt idx="439">
                  <c:v>6148</c:v>
                </c:pt>
                <c:pt idx="440">
                  <c:v>5990</c:v>
                </c:pt>
                <c:pt idx="441">
                  <c:v>6007</c:v>
                </c:pt>
                <c:pt idx="442">
                  <c:v>6045</c:v>
                </c:pt>
                <c:pt idx="443">
                  <c:v>6086</c:v>
                </c:pt>
                <c:pt idx="444">
                  <c:v>6084</c:v>
                </c:pt>
                <c:pt idx="445">
                  <c:v>5963</c:v>
                </c:pt>
                <c:pt idx="446">
                  <c:v>5975</c:v>
                </c:pt>
                <c:pt idx="447">
                  <c:v>5966</c:v>
                </c:pt>
                <c:pt idx="448">
                  <c:v>6025</c:v>
                </c:pt>
                <c:pt idx="449">
                  <c:v>5816</c:v>
                </c:pt>
                <c:pt idx="450">
                  <c:v>5819</c:v>
                </c:pt>
                <c:pt idx="451">
                  <c:v>5844</c:v>
                </c:pt>
                <c:pt idx="452">
                  <c:v>5879</c:v>
                </c:pt>
                <c:pt idx="453">
                  <c:v>5850</c:v>
                </c:pt>
                <c:pt idx="454">
                  <c:v>5664</c:v>
                </c:pt>
                <c:pt idx="455">
                  <c:v>5715</c:v>
                </c:pt>
                <c:pt idx="456">
                  <c:v>5826</c:v>
                </c:pt>
                <c:pt idx="457">
                  <c:v>5862</c:v>
                </c:pt>
                <c:pt idx="458">
                  <c:v>5963</c:v>
                </c:pt>
                <c:pt idx="459">
                  <c:v>5986</c:v>
                </c:pt>
                <c:pt idx="460">
                  <c:v>6061</c:v>
                </c:pt>
                <c:pt idx="461">
                  <c:v>6192</c:v>
                </c:pt>
                <c:pt idx="462">
                  <c:v>6269</c:v>
                </c:pt>
                <c:pt idx="463">
                  <c:v>6310</c:v>
                </c:pt>
                <c:pt idx="464">
                  <c:v>6286</c:v>
                </c:pt>
                <c:pt idx="465">
                  <c:v>6268</c:v>
                </c:pt>
                <c:pt idx="466">
                  <c:v>6310</c:v>
                </c:pt>
                <c:pt idx="467">
                  <c:v>6402</c:v>
                </c:pt>
                <c:pt idx="468">
                  <c:v>6481</c:v>
                </c:pt>
                <c:pt idx="469">
                  <c:v>6408</c:v>
                </c:pt>
                <c:pt idx="470">
                  <c:v>6454</c:v>
                </c:pt>
                <c:pt idx="471">
                  <c:v>6506</c:v>
                </c:pt>
                <c:pt idx="472">
                  <c:v>6598</c:v>
                </c:pt>
                <c:pt idx="473">
                  <c:v>6600</c:v>
                </c:pt>
                <c:pt idx="474">
                  <c:v>6595</c:v>
                </c:pt>
                <c:pt idx="475">
                  <c:v>6548</c:v>
                </c:pt>
                <c:pt idx="476">
                  <c:v>6622</c:v>
                </c:pt>
                <c:pt idx="477">
                  <c:v>6689</c:v>
                </c:pt>
                <c:pt idx="478">
                  <c:v>6707</c:v>
                </c:pt>
                <c:pt idx="479">
                  <c:v>6465</c:v>
                </c:pt>
                <c:pt idx="480">
                  <c:v>6454</c:v>
                </c:pt>
                <c:pt idx="481">
                  <c:v>6405</c:v>
                </c:pt>
                <c:pt idx="482">
                  <c:v>6292</c:v>
                </c:pt>
                <c:pt idx="483">
                  <c:v>5882</c:v>
                </c:pt>
                <c:pt idx="484">
                  <c:v>5769</c:v>
                </c:pt>
                <c:pt idx="485">
                  <c:v>5703</c:v>
                </c:pt>
                <c:pt idx="486">
                  <c:v>5605</c:v>
                </c:pt>
                <c:pt idx="487">
                  <c:v>5507</c:v>
                </c:pt>
                <c:pt idx="488">
                  <c:v>5092</c:v>
                </c:pt>
                <c:pt idx="489">
                  <c:v>5019</c:v>
                </c:pt>
                <c:pt idx="490">
                  <c:v>4957</c:v>
                </c:pt>
                <c:pt idx="491">
                  <c:v>4903</c:v>
                </c:pt>
                <c:pt idx="492">
                  <c:v>4881</c:v>
                </c:pt>
                <c:pt idx="493">
                  <c:v>4628</c:v>
                </c:pt>
                <c:pt idx="494">
                  <c:v>4638</c:v>
                </c:pt>
                <c:pt idx="495">
                  <c:v>4728</c:v>
                </c:pt>
                <c:pt idx="496">
                  <c:v>4717</c:v>
                </c:pt>
                <c:pt idx="497">
                  <c:v>4621</c:v>
                </c:pt>
                <c:pt idx="498">
                  <c:v>4241</c:v>
                </c:pt>
                <c:pt idx="499">
                  <c:v>4161</c:v>
                </c:pt>
                <c:pt idx="500">
                  <c:v>4096</c:v>
                </c:pt>
                <c:pt idx="501">
                  <c:v>4036</c:v>
                </c:pt>
                <c:pt idx="502">
                  <c:v>3923</c:v>
                </c:pt>
                <c:pt idx="503">
                  <c:v>3483</c:v>
                </c:pt>
                <c:pt idx="504">
                  <c:v>3403</c:v>
                </c:pt>
                <c:pt idx="505">
                  <c:v>3359</c:v>
                </c:pt>
                <c:pt idx="506">
                  <c:v>3290</c:v>
                </c:pt>
                <c:pt idx="507">
                  <c:v>3181</c:v>
                </c:pt>
                <c:pt idx="508">
                  <c:v>2878</c:v>
                </c:pt>
                <c:pt idx="509">
                  <c:v>2834</c:v>
                </c:pt>
                <c:pt idx="510">
                  <c:v>2799</c:v>
                </c:pt>
                <c:pt idx="511">
                  <c:v>2752</c:v>
                </c:pt>
                <c:pt idx="512">
                  <c:v>2703</c:v>
                </c:pt>
                <c:pt idx="513">
                  <c:v>2532</c:v>
                </c:pt>
                <c:pt idx="514">
                  <c:v>2536</c:v>
                </c:pt>
                <c:pt idx="515">
                  <c:v>2528</c:v>
                </c:pt>
                <c:pt idx="516">
                  <c:v>2520</c:v>
                </c:pt>
                <c:pt idx="517">
                  <c:v>2423</c:v>
                </c:pt>
                <c:pt idx="518">
                  <c:v>2413</c:v>
                </c:pt>
                <c:pt idx="519">
                  <c:v>2413</c:v>
                </c:pt>
                <c:pt idx="520">
                  <c:v>2411</c:v>
                </c:pt>
                <c:pt idx="521">
                  <c:v>2391</c:v>
                </c:pt>
                <c:pt idx="522">
                  <c:v>2297</c:v>
                </c:pt>
                <c:pt idx="523">
                  <c:v>2287</c:v>
                </c:pt>
                <c:pt idx="524">
                  <c:v>2272</c:v>
                </c:pt>
                <c:pt idx="525">
                  <c:v>2238</c:v>
                </c:pt>
                <c:pt idx="526">
                  <c:v>2218</c:v>
                </c:pt>
                <c:pt idx="527">
                  <c:v>2137</c:v>
                </c:pt>
                <c:pt idx="528">
                  <c:v>2125</c:v>
                </c:pt>
                <c:pt idx="529">
                  <c:v>2116</c:v>
                </c:pt>
                <c:pt idx="530">
                  <c:v>2113</c:v>
                </c:pt>
                <c:pt idx="531">
                  <c:v>2116</c:v>
                </c:pt>
                <c:pt idx="532">
                  <c:v>2117</c:v>
                </c:pt>
                <c:pt idx="533">
                  <c:v>2111</c:v>
                </c:pt>
                <c:pt idx="534">
                  <c:v>2109</c:v>
                </c:pt>
                <c:pt idx="535">
                  <c:v>2119</c:v>
                </c:pt>
                <c:pt idx="536">
                  <c:v>2124</c:v>
                </c:pt>
                <c:pt idx="537">
                  <c:v>2136</c:v>
                </c:pt>
                <c:pt idx="538">
                  <c:v>2139</c:v>
                </c:pt>
                <c:pt idx="539">
                  <c:v>2145</c:v>
                </c:pt>
                <c:pt idx="540">
                  <c:v>2159</c:v>
                </c:pt>
                <c:pt idx="541">
                  <c:v>2159</c:v>
                </c:pt>
                <c:pt idx="542">
                  <c:v>2188</c:v>
                </c:pt>
                <c:pt idx="543">
                  <c:v>2193</c:v>
                </c:pt>
                <c:pt idx="544">
                  <c:v>2191</c:v>
                </c:pt>
                <c:pt idx="545">
                  <c:v>2208</c:v>
                </c:pt>
                <c:pt idx="546">
                  <c:v>2223</c:v>
                </c:pt>
                <c:pt idx="547">
                  <c:v>2234</c:v>
                </c:pt>
                <c:pt idx="548">
                  <c:v>2237</c:v>
                </c:pt>
                <c:pt idx="549">
                  <c:v>2243</c:v>
                </c:pt>
                <c:pt idx="550">
                  <c:v>2251</c:v>
                </c:pt>
                <c:pt idx="551">
                  <c:v>2265</c:v>
                </c:pt>
                <c:pt idx="552">
                  <c:v>2267</c:v>
                </c:pt>
                <c:pt idx="553">
                  <c:v>2283</c:v>
                </c:pt>
                <c:pt idx="554">
                  <c:v>2282</c:v>
                </c:pt>
                <c:pt idx="555">
                  <c:v>2286</c:v>
                </c:pt>
                <c:pt idx="556">
                  <c:v>2291</c:v>
                </c:pt>
                <c:pt idx="557">
                  <c:v>2288</c:v>
                </c:pt>
                <c:pt idx="558">
                  <c:v>2305</c:v>
                </c:pt>
                <c:pt idx="559">
                  <c:v>2308</c:v>
                </c:pt>
                <c:pt idx="560">
                  <c:v>2305</c:v>
                </c:pt>
                <c:pt idx="561">
                  <c:v>2300</c:v>
                </c:pt>
                <c:pt idx="562">
                  <c:v>2294</c:v>
                </c:pt>
                <c:pt idx="563">
                  <c:v>2301</c:v>
                </c:pt>
                <c:pt idx="564">
                  <c:v>2307</c:v>
                </c:pt>
                <c:pt idx="565">
                  <c:v>2304</c:v>
                </c:pt>
                <c:pt idx="566">
                  <c:v>2309</c:v>
                </c:pt>
                <c:pt idx="567">
                  <c:v>2306</c:v>
                </c:pt>
                <c:pt idx="568">
                  <c:v>2335</c:v>
                </c:pt>
                <c:pt idx="569">
                  <c:v>2331</c:v>
                </c:pt>
                <c:pt idx="570">
                  <c:v>2339</c:v>
                </c:pt>
                <c:pt idx="571">
                  <c:v>2335</c:v>
                </c:pt>
                <c:pt idx="572">
                  <c:v>2361</c:v>
                </c:pt>
                <c:pt idx="573">
                  <c:v>2385</c:v>
                </c:pt>
                <c:pt idx="574">
                  <c:v>2392</c:v>
                </c:pt>
                <c:pt idx="575">
                  <c:v>2394</c:v>
                </c:pt>
                <c:pt idx="576">
                  <c:v>2394</c:v>
                </c:pt>
                <c:pt idx="577">
                  <c:v>2410</c:v>
                </c:pt>
                <c:pt idx="578">
                  <c:v>2437</c:v>
                </c:pt>
                <c:pt idx="579">
                  <c:v>2457</c:v>
                </c:pt>
                <c:pt idx="580">
                  <c:v>2467</c:v>
                </c:pt>
                <c:pt idx="581">
                  <c:v>2473</c:v>
                </c:pt>
                <c:pt idx="582">
                  <c:v>2504</c:v>
                </c:pt>
                <c:pt idx="583">
                  <c:v>2499</c:v>
                </c:pt>
                <c:pt idx="584">
                  <c:v>2506</c:v>
                </c:pt>
                <c:pt idx="585">
                  <c:v>2528</c:v>
                </c:pt>
                <c:pt idx="586">
                  <c:v>2518</c:v>
                </c:pt>
                <c:pt idx="587">
                  <c:v>2519</c:v>
                </c:pt>
                <c:pt idx="588">
                  <c:v>2516</c:v>
                </c:pt>
                <c:pt idx="589">
                  <c:v>2503</c:v>
                </c:pt>
                <c:pt idx="590">
                  <c:v>2507</c:v>
                </c:pt>
                <c:pt idx="591">
                  <c:v>2516</c:v>
                </c:pt>
                <c:pt idx="592">
                  <c:v>2511</c:v>
                </c:pt>
                <c:pt idx="593">
                  <c:v>2523</c:v>
                </c:pt>
                <c:pt idx="594">
                  <c:v>2501</c:v>
                </c:pt>
                <c:pt idx="595">
                  <c:v>2508</c:v>
                </c:pt>
                <c:pt idx="596">
                  <c:v>2495</c:v>
                </c:pt>
                <c:pt idx="597">
                  <c:v>2489</c:v>
                </c:pt>
                <c:pt idx="598">
                  <c:v>2470</c:v>
                </c:pt>
                <c:pt idx="599">
                  <c:v>2447</c:v>
                </c:pt>
                <c:pt idx="600">
                  <c:v>2413</c:v>
                </c:pt>
                <c:pt idx="601">
                  <c:v>2407</c:v>
                </c:pt>
                <c:pt idx="602">
                  <c:v>2391</c:v>
                </c:pt>
                <c:pt idx="603">
                  <c:v>2373</c:v>
                </c:pt>
                <c:pt idx="604">
                  <c:v>2332</c:v>
                </c:pt>
                <c:pt idx="605">
                  <c:v>2317</c:v>
                </c:pt>
                <c:pt idx="606">
                  <c:v>2306</c:v>
                </c:pt>
                <c:pt idx="607">
                  <c:v>2281</c:v>
                </c:pt>
                <c:pt idx="608">
                  <c:v>2252</c:v>
                </c:pt>
                <c:pt idx="609">
                  <c:v>2204</c:v>
                </c:pt>
                <c:pt idx="610">
                  <c:v>2181</c:v>
                </c:pt>
                <c:pt idx="611">
                  <c:v>2171</c:v>
                </c:pt>
                <c:pt idx="612">
                  <c:v>2164</c:v>
                </c:pt>
                <c:pt idx="613">
                  <c:v>2153</c:v>
                </c:pt>
                <c:pt idx="614">
                  <c:v>2121</c:v>
                </c:pt>
                <c:pt idx="615">
                  <c:v>2117</c:v>
                </c:pt>
                <c:pt idx="616">
                  <c:v>2111</c:v>
                </c:pt>
                <c:pt idx="617">
                  <c:v>2096</c:v>
                </c:pt>
                <c:pt idx="618">
                  <c:v>2088</c:v>
                </c:pt>
                <c:pt idx="619">
                  <c:v>2080</c:v>
                </c:pt>
                <c:pt idx="620">
                  <c:v>2072</c:v>
                </c:pt>
                <c:pt idx="621">
                  <c:v>2063</c:v>
                </c:pt>
                <c:pt idx="622">
                  <c:v>2058</c:v>
                </c:pt>
                <c:pt idx="623">
                  <c:v>2049</c:v>
                </c:pt>
                <c:pt idx="624">
                  <c:v>2040</c:v>
                </c:pt>
                <c:pt idx="625">
                  <c:v>2042</c:v>
                </c:pt>
                <c:pt idx="626">
                  <c:v>2036</c:v>
                </c:pt>
                <c:pt idx="627">
                  <c:v>2031</c:v>
                </c:pt>
                <c:pt idx="628">
                  <c:v>2006</c:v>
                </c:pt>
                <c:pt idx="629">
                  <c:v>1999</c:v>
                </c:pt>
                <c:pt idx="630">
                  <c:v>1999</c:v>
                </c:pt>
                <c:pt idx="631">
                  <c:v>1997</c:v>
                </c:pt>
                <c:pt idx="632">
                  <c:v>1994</c:v>
                </c:pt>
                <c:pt idx="633">
                  <c:v>1991</c:v>
                </c:pt>
                <c:pt idx="634">
                  <c:v>1985</c:v>
                </c:pt>
                <c:pt idx="635">
                  <c:v>1980</c:v>
                </c:pt>
                <c:pt idx="636">
                  <c:v>1983</c:v>
                </c:pt>
                <c:pt idx="637">
                  <c:v>1972</c:v>
                </c:pt>
                <c:pt idx="638">
                  <c:v>1981</c:v>
                </c:pt>
                <c:pt idx="639">
                  <c:v>1980</c:v>
                </c:pt>
                <c:pt idx="640">
                  <c:v>1989</c:v>
                </c:pt>
                <c:pt idx="641">
                  <c:v>1988</c:v>
                </c:pt>
                <c:pt idx="642">
                  <c:v>1984</c:v>
                </c:pt>
                <c:pt idx="643">
                  <c:v>2010</c:v>
                </c:pt>
                <c:pt idx="644">
                  <c:v>2020</c:v>
                </c:pt>
                <c:pt idx="645">
                  <c:v>2019</c:v>
                </c:pt>
                <c:pt idx="646">
                  <c:v>2015</c:v>
                </c:pt>
                <c:pt idx="647">
                  <c:v>2026</c:v>
                </c:pt>
                <c:pt idx="648">
                  <c:v>2025</c:v>
                </c:pt>
                <c:pt idx="649">
                  <c:v>2023</c:v>
                </c:pt>
                <c:pt idx="650">
                  <c:v>2025</c:v>
                </c:pt>
                <c:pt idx="651">
                  <c:v>2047</c:v>
                </c:pt>
                <c:pt idx="652">
                  <c:v>2083</c:v>
                </c:pt>
                <c:pt idx="653">
                  <c:v>2086</c:v>
                </c:pt>
                <c:pt idx="654">
                  <c:v>2095</c:v>
                </c:pt>
                <c:pt idx="655">
                  <c:v>2096</c:v>
                </c:pt>
                <c:pt idx="656">
                  <c:v>2096</c:v>
                </c:pt>
                <c:pt idx="657">
                  <c:v>2134</c:v>
                </c:pt>
                <c:pt idx="658">
                  <c:v>2141</c:v>
                </c:pt>
                <c:pt idx="659">
                  <c:v>2145</c:v>
                </c:pt>
                <c:pt idx="660">
                  <c:v>2138</c:v>
                </c:pt>
                <c:pt idx="661">
                  <c:v>2132</c:v>
                </c:pt>
                <c:pt idx="662">
                  <c:v>2146</c:v>
                </c:pt>
                <c:pt idx="663">
                  <c:v>2148</c:v>
                </c:pt>
                <c:pt idx="664">
                  <c:v>2159</c:v>
                </c:pt>
                <c:pt idx="665">
                  <c:v>2163</c:v>
                </c:pt>
                <c:pt idx="666">
                  <c:v>2164</c:v>
                </c:pt>
                <c:pt idx="667">
                  <c:v>2180</c:v>
                </c:pt>
                <c:pt idx="668">
                  <c:v>2187</c:v>
                </c:pt>
                <c:pt idx="669">
                  <c:v>2189</c:v>
                </c:pt>
                <c:pt idx="670">
                  <c:v>2192</c:v>
                </c:pt>
                <c:pt idx="671">
                  <c:v>2192</c:v>
                </c:pt>
                <c:pt idx="672">
                  <c:v>2223</c:v>
                </c:pt>
                <c:pt idx="673">
                  <c:v>2235</c:v>
                </c:pt>
                <c:pt idx="674">
                  <c:v>2225</c:v>
                </c:pt>
                <c:pt idx="675">
                  <c:v>2233</c:v>
                </c:pt>
                <c:pt idx="676">
                  <c:v>2237</c:v>
                </c:pt>
                <c:pt idx="677">
                  <c:v>2243</c:v>
                </c:pt>
                <c:pt idx="678">
                  <c:v>2251</c:v>
                </c:pt>
                <c:pt idx="679">
                  <c:v>2261</c:v>
                </c:pt>
                <c:pt idx="680">
                  <c:v>2266</c:v>
                </c:pt>
                <c:pt idx="681">
                  <c:v>2276</c:v>
                </c:pt>
                <c:pt idx="682">
                  <c:v>2282</c:v>
                </c:pt>
                <c:pt idx="683">
                  <c:v>2286</c:v>
                </c:pt>
                <c:pt idx="684">
                  <c:v>2280</c:v>
                </c:pt>
                <c:pt idx="685">
                  <c:v>2287</c:v>
                </c:pt>
                <c:pt idx="686">
                  <c:v>2277</c:v>
                </c:pt>
                <c:pt idx="687">
                  <c:v>2269</c:v>
                </c:pt>
                <c:pt idx="688">
                  <c:v>2270</c:v>
                </c:pt>
                <c:pt idx="689">
                  <c:v>2272</c:v>
                </c:pt>
                <c:pt idx="690">
                  <c:v>2264</c:v>
                </c:pt>
                <c:pt idx="691">
                  <c:v>2294</c:v>
                </c:pt>
                <c:pt idx="692">
                  <c:v>2294</c:v>
                </c:pt>
                <c:pt idx="693">
                  <c:v>2302</c:v>
                </c:pt>
                <c:pt idx="694">
                  <c:v>2317</c:v>
                </c:pt>
                <c:pt idx="695">
                  <c:v>2340</c:v>
                </c:pt>
                <c:pt idx="696">
                  <c:v>2343</c:v>
                </c:pt>
                <c:pt idx="697">
                  <c:v>2345</c:v>
                </c:pt>
                <c:pt idx="698">
                  <c:v>2340</c:v>
                </c:pt>
                <c:pt idx="699">
                  <c:v>2340</c:v>
                </c:pt>
                <c:pt idx="700">
                  <c:v>2375</c:v>
                </c:pt>
                <c:pt idx="701">
                  <c:v>2371</c:v>
                </c:pt>
                <c:pt idx="702">
                  <c:v>2375</c:v>
                </c:pt>
                <c:pt idx="703">
                  <c:v>2389</c:v>
                </c:pt>
                <c:pt idx="704">
                  <c:v>2415</c:v>
                </c:pt>
                <c:pt idx="705">
                  <c:v>2410</c:v>
                </c:pt>
                <c:pt idx="706">
                  <c:v>2407</c:v>
                </c:pt>
                <c:pt idx="707">
                  <c:v>2419</c:v>
                </c:pt>
                <c:pt idx="708">
                  <c:v>2418</c:v>
                </c:pt>
                <c:pt idx="709">
                  <c:v>2429</c:v>
                </c:pt>
                <c:pt idx="710">
                  <c:v>2440</c:v>
                </c:pt>
                <c:pt idx="711">
                  <c:v>2443</c:v>
                </c:pt>
                <c:pt idx="712">
                  <c:v>2439</c:v>
                </c:pt>
                <c:pt idx="713">
                  <c:v>2437</c:v>
                </c:pt>
                <c:pt idx="714">
                  <c:v>2462</c:v>
                </c:pt>
                <c:pt idx="715">
                  <c:v>2470</c:v>
                </c:pt>
                <c:pt idx="716">
                  <c:v>2468</c:v>
                </c:pt>
                <c:pt idx="717">
                  <c:v>2481</c:v>
                </c:pt>
                <c:pt idx="718">
                  <c:v>2472</c:v>
                </c:pt>
                <c:pt idx="719">
                  <c:v>2484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36-45CE-B8F8-48D66FA477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9711455"/>
        <c:axId val="1059710975"/>
      </c:lineChart>
      <c:dateAx>
        <c:axId val="105971145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710975"/>
        <c:crosses val="autoZero"/>
        <c:auto val="1"/>
        <c:lblOffset val="100"/>
        <c:baseTimeUnit val="days"/>
      </c:dateAx>
      <c:valAx>
        <c:axId val="105971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711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Children</a:t>
            </a:r>
            <a:r>
              <a:rPr lang="en-IN" baseline="0"/>
              <a:t> Entering vs Transferred Out Over Time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Clean_Data!$B$1</c:f>
              <c:strCache>
                <c:ptCount val="1"/>
                <c:pt idx="0">
                  <c:v>Children_Apprehended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Clean_Data!$A$2:$A$721</c:f>
              <c:numCache>
                <c:formatCode>m/d/yyyy</c:formatCode>
                <c:ptCount val="720"/>
                <c:pt idx="0">
                  <c:v>44938</c:v>
                </c:pt>
                <c:pt idx="1">
                  <c:v>44948</c:v>
                </c:pt>
                <c:pt idx="2">
                  <c:v>44949</c:v>
                </c:pt>
                <c:pt idx="3">
                  <c:v>44950</c:v>
                </c:pt>
                <c:pt idx="4">
                  <c:v>44951</c:v>
                </c:pt>
                <c:pt idx="5">
                  <c:v>44955</c:v>
                </c:pt>
                <c:pt idx="6">
                  <c:v>44956</c:v>
                </c:pt>
                <c:pt idx="7">
                  <c:v>44957</c:v>
                </c:pt>
                <c:pt idx="8">
                  <c:v>44958</c:v>
                </c:pt>
                <c:pt idx="9">
                  <c:v>44959</c:v>
                </c:pt>
                <c:pt idx="10">
                  <c:v>44962</c:v>
                </c:pt>
                <c:pt idx="11">
                  <c:v>44963</c:v>
                </c:pt>
                <c:pt idx="12">
                  <c:v>44964</c:v>
                </c:pt>
                <c:pt idx="13">
                  <c:v>44965</c:v>
                </c:pt>
                <c:pt idx="14">
                  <c:v>44966</c:v>
                </c:pt>
                <c:pt idx="15">
                  <c:v>44969</c:v>
                </c:pt>
                <c:pt idx="16">
                  <c:v>44970</c:v>
                </c:pt>
                <c:pt idx="17">
                  <c:v>44971</c:v>
                </c:pt>
                <c:pt idx="18">
                  <c:v>44972</c:v>
                </c:pt>
                <c:pt idx="19">
                  <c:v>44973</c:v>
                </c:pt>
                <c:pt idx="20">
                  <c:v>44977</c:v>
                </c:pt>
                <c:pt idx="21">
                  <c:v>44978</c:v>
                </c:pt>
                <c:pt idx="22">
                  <c:v>44979</c:v>
                </c:pt>
                <c:pt idx="23">
                  <c:v>44980</c:v>
                </c:pt>
                <c:pt idx="24">
                  <c:v>44983</c:v>
                </c:pt>
                <c:pt idx="25">
                  <c:v>44984</c:v>
                </c:pt>
                <c:pt idx="26">
                  <c:v>44985</c:v>
                </c:pt>
                <c:pt idx="27">
                  <c:v>44986</c:v>
                </c:pt>
                <c:pt idx="28">
                  <c:v>44987</c:v>
                </c:pt>
                <c:pt idx="29">
                  <c:v>44992</c:v>
                </c:pt>
                <c:pt idx="30">
                  <c:v>44993</c:v>
                </c:pt>
                <c:pt idx="31">
                  <c:v>44994</c:v>
                </c:pt>
                <c:pt idx="32">
                  <c:v>44998</c:v>
                </c:pt>
                <c:pt idx="33">
                  <c:v>44999</c:v>
                </c:pt>
                <c:pt idx="34">
                  <c:v>45000</c:v>
                </c:pt>
                <c:pt idx="35">
                  <c:v>45001</c:v>
                </c:pt>
                <c:pt idx="36">
                  <c:v>45004</c:v>
                </c:pt>
                <c:pt idx="37">
                  <c:v>45005</c:v>
                </c:pt>
                <c:pt idx="38">
                  <c:v>45006</c:v>
                </c:pt>
                <c:pt idx="39">
                  <c:v>45007</c:v>
                </c:pt>
                <c:pt idx="40">
                  <c:v>45008</c:v>
                </c:pt>
                <c:pt idx="41">
                  <c:v>45011</c:v>
                </c:pt>
                <c:pt idx="42">
                  <c:v>45012</c:v>
                </c:pt>
                <c:pt idx="43">
                  <c:v>45013</c:v>
                </c:pt>
                <c:pt idx="44">
                  <c:v>45014</c:v>
                </c:pt>
                <c:pt idx="45">
                  <c:v>45015</c:v>
                </c:pt>
                <c:pt idx="46">
                  <c:v>45018</c:v>
                </c:pt>
                <c:pt idx="47">
                  <c:v>45019</c:v>
                </c:pt>
                <c:pt idx="48">
                  <c:v>45020</c:v>
                </c:pt>
                <c:pt idx="49">
                  <c:v>45021</c:v>
                </c:pt>
                <c:pt idx="50">
                  <c:v>45022</c:v>
                </c:pt>
                <c:pt idx="51">
                  <c:v>45025</c:v>
                </c:pt>
                <c:pt idx="52">
                  <c:v>45026</c:v>
                </c:pt>
                <c:pt idx="53">
                  <c:v>45027</c:v>
                </c:pt>
                <c:pt idx="54">
                  <c:v>45028</c:v>
                </c:pt>
                <c:pt idx="55">
                  <c:v>45029</c:v>
                </c:pt>
                <c:pt idx="56">
                  <c:v>45032</c:v>
                </c:pt>
                <c:pt idx="57">
                  <c:v>45033</c:v>
                </c:pt>
                <c:pt idx="58">
                  <c:v>45034</c:v>
                </c:pt>
                <c:pt idx="59">
                  <c:v>45035</c:v>
                </c:pt>
                <c:pt idx="60">
                  <c:v>45036</c:v>
                </c:pt>
                <c:pt idx="61">
                  <c:v>45039</c:v>
                </c:pt>
                <c:pt idx="62">
                  <c:v>45040</c:v>
                </c:pt>
                <c:pt idx="63">
                  <c:v>45041</c:v>
                </c:pt>
                <c:pt idx="64">
                  <c:v>45042</c:v>
                </c:pt>
                <c:pt idx="65">
                  <c:v>45043</c:v>
                </c:pt>
                <c:pt idx="66">
                  <c:v>45046</c:v>
                </c:pt>
                <c:pt idx="67">
                  <c:v>45047</c:v>
                </c:pt>
                <c:pt idx="68">
                  <c:v>45048</c:v>
                </c:pt>
                <c:pt idx="69">
                  <c:v>45049</c:v>
                </c:pt>
                <c:pt idx="70">
                  <c:v>45050</c:v>
                </c:pt>
                <c:pt idx="71">
                  <c:v>45053</c:v>
                </c:pt>
                <c:pt idx="72">
                  <c:v>45054</c:v>
                </c:pt>
                <c:pt idx="73">
                  <c:v>45055</c:v>
                </c:pt>
                <c:pt idx="74">
                  <c:v>45056</c:v>
                </c:pt>
                <c:pt idx="75">
                  <c:v>45057</c:v>
                </c:pt>
                <c:pt idx="76">
                  <c:v>45060</c:v>
                </c:pt>
                <c:pt idx="77">
                  <c:v>45061</c:v>
                </c:pt>
                <c:pt idx="78">
                  <c:v>45062</c:v>
                </c:pt>
                <c:pt idx="79">
                  <c:v>45063</c:v>
                </c:pt>
                <c:pt idx="80">
                  <c:v>45064</c:v>
                </c:pt>
                <c:pt idx="81">
                  <c:v>45067</c:v>
                </c:pt>
                <c:pt idx="82">
                  <c:v>45068</c:v>
                </c:pt>
                <c:pt idx="83">
                  <c:v>45069</c:v>
                </c:pt>
                <c:pt idx="84">
                  <c:v>45070</c:v>
                </c:pt>
                <c:pt idx="85">
                  <c:v>45071</c:v>
                </c:pt>
                <c:pt idx="86">
                  <c:v>45075</c:v>
                </c:pt>
                <c:pt idx="87">
                  <c:v>45076</c:v>
                </c:pt>
                <c:pt idx="88">
                  <c:v>45077</c:v>
                </c:pt>
                <c:pt idx="89">
                  <c:v>45078</c:v>
                </c:pt>
                <c:pt idx="90">
                  <c:v>45081</c:v>
                </c:pt>
                <c:pt idx="91">
                  <c:v>45082</c:v>
                </c:pt>
                <c:pt idx="92">
                  <c:v>45083</c:v>
                </c:pt>
                <c:pt idx="93">
                  <c:v>45084</c:v>
                </c:pt>
                <c:pt idx="94">
                  <c:v>45085</c:v>
                </c:pt>
                <c:pt idx="95">
                  <c:v>45088</c:v>
                </c:pt>
                <c:pt idx="96">
                  <c:v>45089</c:v>
                </c:pt>
                <c:pt idx="97">
                  <c:v>45090</c:v>
                </c:pt>
                <c:pt idx="98">
                  <c:v>45091</c:v>
                </c:pt>
                <c:pt idx="99">
                  <c:v>45092</c:v>
                </c:pt>
                <c:pt idx="100">
                  <c:v>45096</c:v>
                </c:pt>
                <c:pt idx="101">
                  <c:v>45097</c:v>
                </c:pt>
                <c:pt idx="102">
                  <c:v>45098</c:v>
                </c:pt>
                <c:pt idx="103">
                  <c:v>45099</c:v>
                </c:pt>
                <c:pt idx="104">
                  <c:v>45102</c:v>
                </c:pt>
                <c:pt idx="105">
                  <c:v>45103</c:v>
                </c:pt>
                <c:pt idx="106">
                  <c:v>45104</c:v>
                </c:pt>
                <c:pt idx="107">
                  <c:v>45105</c:v>
                </c:pt>
                <c:pt idx="108">
                  <c:v>45106</c:v>
                </c:pt>
                <c:pt idx="109">
                  <c:v>45109</c:v>
                </c:pt>
                <c:pt idx="110">
                  <c:v>45111</c:v>
                </c:pt>
                <c:pt idx="111">
                  <c:v>45112</c:v>
                </c:pt>
                <c:pt idx="112">
                  <c:v>45113</c:v>
                </c:pt>
                <c:pt idx="113">
                  <c:v>45116</c:v>
                </c:pt>
                <c:pt idx="114">
                  <c:v>45117</c:v>
                </c:pt>
                <c:pt idx="115">
                  <c:v>45118</c:v>
                </c:pt>
                <c:pt idx="116">
                  <c:v>45119</c:v>
                </c:pt>
                <c:pt idx="117">
                  <c:v>45120</c:v>
                </c:pt>
                <c:pt idx="118">
                  <c:v>45123</c:v>
                </c:pt>
                <c:pt idx="119">
                  <c:v>45124</c:v>
                </c:pt>
                <c:pt idx="120">
                  <c:v>45125</c:v>
                </c:pt>
                <c:pt idx="121">
                  <c:v>45126</c:v>
                </c:pt>
                <c:pt idx="122">
                  <c:v>45127</c:v>
                </c:pt>
                <c:pt idx="123">
                  <c:v>45130</c:v>
                </c:pt>
                <c:pt idx="124">
                  <c:v>45131</c:v>
                </c:pt>
                <c:pt idx="125">
                  <c:v>45132</c:v>
                </c:pt>
                <c:pt idx="126">
                  <c:v>45133</c:v>
                </c:pt>
                <c:pt idx="127">
                  <c:v>45134</c:v>
                </c:pt>
                <c:pt idx="128">
                  <c:v>45137</c:v>
                </c:pt>
                <c:pt idx="129">
                  <c:v>45138</c:v>
                </c:pt>
                <c:pt idx="130">
                  <c:v>45139</c:v>
                </c:pt>
                <c:pt idx="131">
                  <c:v>45140</c:v>
                </c:pt>
                <c:pt idx="132">
                  <c:v>45141</c:v>
                </c:pt>
                <c:pt idx="133">
                  <c:v>45144</c:v>
                </c:pt>
                <c:pt idx="134">
                  <c:v>45145</c:v>
                </c:pt>
                <c:pt idx="135">
                  <c:v>45146</c:v>
                </c:pt>
                <c:pt idx="136">
                  <c:v>45147</c:v>
                </c:pt>
                <c:pt idx="137">
                  <c:v>45148</c:v>
                </c:pt>
                <c:pt idx="138">
                  <c:v>45154</c:v>
                </c:pt>
                <c:pt idx="139">
                  <c:v>45155</c:v>
                </c:pt>
                <c:pt idx="140">
                  <c:v>45158</c:v>
                </c:pt>
                <c:pt idx="141">
                  <c:v>45159</c:v>
                </c:pt>
                <c:pt idx="142">
                  <c:v>45160</c:v>
                </c:pt>
                <c:pt idx="143">
                  <c:v>45161</c:v>
                </c:pt>
                <c:pt idx="144">
                  <c:v>45162</c:v>
                </c:pt>
                <c:pt idx="145">
                  <c:v>45165</c:v>
                </c:pt>
                <c:pt idx="146">
                  <c:v>45166</c:v>
                </c:pt>
                <c:pt idx="147">
                  <c:v>45167</c:v>
                </c:pt>
                <c:pt idx="148">
                  <c:v>45168</c:v>
                </c:pt>
                <c:pt idx="149">
                  <c:v>45169</c:v>
                </c:pt>
                <c:pt idx="150">
                  <c:v>45173</c:v>
                </c:pt>
                <c:pt idx="151">
                  <c:v>45174</c:v>
                </c:pt>
                <c:pt idx="152">
                  <c:v>45175</c:v>
                </c:pt>
                <c:pt idx="153">
                  <c:v>45176</c:v>
                </c:pt>
                <c:pt idx="154">
                  <c:v>45179</c:v>
                </c:pt>
                <c:pt idx="155">
                  <c:v>45180</c:v>
                </c:pt>
                <c:pt idx="156">
                  <c:v>45181</c:v>
                </c:pt>
                <c:pt idx="157">
                  <c:v>45182</c:v>
                </c:pt>
                <c:pt idx="158">
                  <c:v>45183</c:v>
                </c:pt>
                <c:pt idx="159">
                  <c:v>45186</c:v>
                </c:pt>
                <c:pt idx="160">
                  <c:v>45187</c:v>
                </c:pt>
                <c:pt idx="161">
                  <c:v>45188</c:v>
                </c:pt>
                <c:pt idx="162">
                  <c:v>45189</c:v>
                </c:pt>
                <c:pt idx="163">
                  <c:v>45190</c:v>
                </c:pt>
                <c:pt idx="164">
                  <c:v>45193</c:v>
                </c:pt>
                <c:pt idx="165">
                  <c:v>45194</c:v>
                </c:pt>
                <c:pt idx="166">
                  <c:v>45195</c:v>
                </c:pt>
                <c:pt idx="167">
                  <c:v>45196</c:v>
                </c:pt>
                <c:pt idx="168">
                  <c:v>45197</c:v>
                </c:pt>
                <c:pt idx="169">
                  <c:v>45200</c:v>
                </c:pt>
                <c:pt idx="170">
                  <c:v>45201</c:v>
                </c:pt>
                <c:pt idx="171">
                  <c:v>45202</c:v>
                </c:pt>
                <c:pt idx="172">
                  <c:v>45203</c:v>
                </c:pt>
                <c:pt idx="173">
                  <c:v>45204</c:v>
                </c:pt>
                <c:pt idx="174">
                  <c:v>45208</c:v>
                </c:pt>
                <c:pt idx="175">
                  <c:v>45209</c:v>
                </c:pt>
                <c:pt idx="176">
                  <c:v>45210</c:v>
                </c:pt>
                <c:pt idx="177">
                  <c:v>45211</c:v>
                </c:pt>
                <c:pt idx="178">
                  <c:v>45214</c:v>
                </c:pt>
                <c:pt idx="179">
                  <c:v>45215</c:v>
                </c:pt>
                <c:pt idx="180">
                  <c:v>45216</c:v>
                </c:pt>
                <c:pt idx="181">
                  <c:v>45217</c:v>
                </c:pt>
                <c:pt idx="182">
                  <c:v>45218</c:v>
                </c:pt>
                <c:pt idx="183">
                  <c:v>45221</c:v>
                </c:pt>
                <c:pt idx="184">
                  <c:v>45222</c:v>
                </c:pt>
                <c:pt idx="185">
                  <c:v>45223</c:v>
                </c:pt>
                <c:pt idx="186">
                  <c:v>45224</c:v>
                </c:pt>
                <c:pt idx="187">
                  <c:v>45225</c:v>
                </c:pt>
                <c:pt idx="188">
                  <c:v>45228</c:v>
                </c:pt>
                <c:pt idx="189">
                  <c:v>45229</c:v>
                </c:pt>
                <c:pt idx="190">
                  <c:v>45230</c:v>
                </c:pt>
                <c:pt idx="191">
                  <c:v>45231</c:v>
                </c:pt>
                <c:pt idx="192">
                  <c:v>45232</c:v>
                </c:pt>
                <c:pt idx="193">
                  <c:v>45235</c:v>
                </c:pt>
                <c:pt idx="194">
                  <c:v>45236</c:v>
                </c:pt>
                <c:pt idx="195">
                  <c:v>45237</c:v>
                </c:pt>
                <c:pt idx="196">
                  <c:v>45238</c:v>
                </c:pt>
                <c:pt idx="197">
                  <c:v>45242</c:v>
                </c:pt>
                <c:pt idx="198">
                  <c:v>45243</c:v>
                </c:pt>
                <c:pt idx="199">
                  <c:v>45244</c:v>
                </c:pt>
                <c:pt idx="200">
                  <c:v>45245</c:v>
                </c:pt>
                <c:pt idx="201">
                  <c:v>45246</c:v>
                </c:pt>
                <c:pt idx="202">
                  <c:v>45249</c:v>
                </c:pt>
                <c:pt idx="203">
                  <c:v>45250</c:v>
                </c:pt>
                <c:pt idx="204">
                  <c:v>45251</c:v>
                </c:pt>
                <c:pt idx="205">
                  <c:v>45253</c:v>
                </c:pt>
                <c:pt idx="206">
                  <c:v>45256</c:v>
                </c:pt>
                <c:pt idx="207">
                  <c:v>45257</c:v>
                </c:pt>
                <c:pt idx="208">
                  <c:v>45258</c:v>
                </c:pt>
                <c:pt idx="209">
                  <c:v>45259</c:v>
                </c:pt>
                <c:pt idx="210">
                  <c:v>45260</c:v>
                </c:pt>
                <c:pt idx="211">
                  <c:v>45263</c:v>
                </c:pt>
                <c:pt idx="212">
                  <c:v>45264</c:v>
                </c:pt>
                <c:pt idx="213">
                  <c:v>45265</c:v>
                </c:pt>
                <c:pt idx="214">
                  <c:v>45266</c:v>
                </c:pt>
                <c:pt idx="215">
                  <c:v>45267</c:v>
                </c:pt>
                <c:pt idx="216">
                  <c:v>45270</c:v>
                </c:pt>
                <c:pt idx="217">
                  <c:v>45271</c:v>
                </c:pt>
                <c:pt idx="218">
                  <c:v>45272</c:v>
                </c:pt>
                <c:pt idx="219">
                  <c:v>45273</c:v>
                </c:pt>
                <c:pt idx="220">
                  <c:v>45274</c:v>
                </c:pt>
                <c:pt idx="221">
                  <c:v>45277</c:v>
                </c:pt>
                <c:pt idx="222">
                  <c:v>45278</c:v>
                </c:pt>
                <c:pt idx="223">
                  <c:v>45279</c:v>
                </c:pt>
                <c:pt idx="224">
                  <c:v>45280</c:v>
                </c:pt>
                <c:pt idx="225">
                  <c:v>45281</c:v>
                </c:pt>
                <c:pt idx="226">
                  <c:v>45285</c:v>
                </c:pt>
                <c:pt idx="227">
                  <c:v>45286</c:v>
                </c:pt>
                <c:pt idx="228">
                  <c:v>45287</c:v>
                </c:pt>
                <c:pt idx="229">
                  <c:v>45288</c:v>
                </c:pt>
                <c:pt idx="230">
                  <c:v>45292</c:v>
                </c:pt>
                <c:pt idx="231">
                  <c:v>45293</c:v>
                </c:pt>
                <c:pt idx="232">
                  <c:v>45294</c:v>
                </c:pt>
                <c:pt idx="233">
                  <c:v>45295</c:v>
                </c:pt>
                <c:pt idx="234">
                  <c:v>45298</c:v>
                </c:pt>
                <c:pt idx="235">
                  <c:v>45299</c:v>
                </c:pt>
                <c:pt idx="236">
                  <c:v>45300</c:v>
                </c:pt>
                <c:pt idx="237">
                  <c:v>45301</c:v>
                </c:pt>
                <c:pt idx="238">
                  <c:v>45302</c:v>
                </c:pt>
                <c:pt idx="239">
                  <c:v>45306</c:v>
                </c:pt>
                <c:pt idx="240">
                  <c:v>45307</c:v>
                </c:pt>
                <c:pt idx="241">
                  <c:v>45308</c:v>
                </c:pt>
                <c:pt idx="242">
                  <c:v>45309</c:v>
                </c:pt>
                <c:pt idx="243">
                  <c:v>45312</c:v>
                </c:pt>
                <c:pt idx="244">
                  <c:v>45313</c:v>
                </c:pt>
                <c:pt idx="245">
                  <c:v>45314</c:v>
                </c:pt>
                <c:pt idx="246">
                  <c:v>45315</c:v>
                </c:pt>
                <c:pt idx="247">
                  <c:v>45316</c:v>
                </c:pt>
                <c:pt idx="248">
                  <c:v>45319</c:v>
                </c:pt>
                <c:pt idx="249">
                  <c:v>45320</c:v>
                </c:pt>
                <c:pt idx="250">
                  <c:v>45321</c:v>
                </c:pt>
                <c:pt idx="251">
                  <c:v>45322</c:v>
                </c:pt>
                <c:pt idx="252">
                  <c:v>45323</c:v>
                </c:pt>
                <c:pt idx="253">
                  <c:v>45326</c:v>
                </c:pt>
                <c:pt idx="254">
                  <c:v>45327</c:v>
                </c:pt>
                <c:pt idx="255">
                  <c:v>45328</c:v>
                </c:pt>
                <c:pt idx="256">
                  <c:v>45329</c:v>
                </c:pt>
                <c:pt idx="257">
                  <c:v>45330</c:v>
                </c:pt>
                <c:pt idx="258">
                  <c:v>45333</c:v>
                </c:pt>
                <c:pt idx="259">
                  <c:v>45334</c:v>
                </c:pt>
                <c:pt idx="260">
                  <c:v>45335</c:v>
                </c:pt>
                <c:pt idx="261">
                  <c:v>45336</c:v>
                </c:pt>
                <c:pt idx="262">
                  <c:v>45337</c:v>
                </c:pt>
                <c:pt idx="263">
                  <c:v>45341</c:v>
                </c:pt>
                <c:pt idx="264">
                  <c:v>45342</c:v>
                </c:pt>
                <c:pt idx="265">
                  <c:v>45343</c:v>
                </c:pt>
                <c:pt idx="266">
                  <c:v>45344</c:v>
                </c:pt>
                <c:pt idx="267">
                  <c:v>45347</c:v>
                </c:pt>
                <c:pt idx="268">
                  <c:v>45348</c:v>
                </c:pt>
                <c:pt idx="269">
                  <c:v>45349</c:v>
                </c:pt>
                <c:pt idx="270">
                  <c:v>45350</c:v>
                </c:pt>
                <c:pt idx="271">
                  <c:v>45351</c:v>
                </c:pt>
                <c:pt idx="272">
                  <c:v>45354</c:v>
                </c:pt>
                <c:pt idx="273">
                  <c:v>45355</c:v>
                </c:pt>
                <c:pt idx="274">
                  <c:v>45356</c:v>
                </c:pt>
                <c:pt idx="275">
                  <c:v>45357</c:v>
                </c:pt>
                <c:pt idx="276">
                  <c:v>45358</c:v>
                </c:pt>
                <c:pt idx="277">
                  <c:v>45361</c:v>
                </c:pt>
                <c:pt idx="278">
                  <c:v>45362</c:v>
                </c:pt>
                <c:pt idx="279">
                  <c:v>45363</c:v>
                </c:pt>
                <c:pt idx="280">
                  <c:v>45364</c:v>
                </c:pt>
                <c:pt idx="281">
                  <c:v>45365</c:v>
                </c:pt>
                <c:pt idx="282">
                  <c:v>45368</c:v>
                </c:pt>
                <c:pt idx="283">
                  <c:v>45369</c:v>
                </c:pt>
                <c:pt idx="284">
                  <c:v>45370</c:v>
                </c:pt>
                <c:pt idx="285">
                  <c:v>45371</c:v>
                </c:pt>
                <c:pt idx="286">
                  <c:v>45372</c:v>
                </c:pt>
                <c:pt idx="287">
                  <c:v>45375</c:v>
                </c:pt>
                <c:pt idx="288">
                  <c:v>45376</c:v>
                </c:pt>
                <c:pt idx="289">
                  <c:v>45377</c:v>
                </c:pt>
                <c:pt idx="290">
                  <c:v>45378</c:v>
                </c:pt>
                <c:pt idx="291">
                  <c:v>45379</c:v>
                </c:pt>
                <c:pt idx="292">
                  <c:v>45382</c:v>
                </c:pt>
                <c:pt idx="293">
                  <c:v>45383</c:v>
                </c:pt>
                <c:pt idx="294">
                  <c:v>45384</c:v>
                </c:pt>
                <c:pt idx="295">
                  <c:v>45385</c:v>
                </c:pt>
                <c:pt idx="296">
                  <c:v>45386</c:v>
                </c:pt>
                <c:pt idx="297">
                  <c:v>45389</c:v>
                </c:pt>
                <c:pt idx="298">
                  <c:v>45390</c:v>
                </c:pt>
                <c:pt idx="299">
                  <c:v>45391</c:v>
                </c:pt>
                <c:pt idx="300">
                  <c:v>45392</c:v>
                </c:pt>
                <c:pt idx="301">
                  <c:v>45393</c:v>
                </c:pt>
                <c:pt idx="302">
                  <c:v>45396</c:v>
                </c:pt>
                <c:pt idx="303">
                  <c:v>45397</c:v>
                </c:pt>
                <c:pt idx="304">
                  <c:v>45398</c:v>
                </c:pt>
                <c:pt idx="305">
                  <c:v>45399</c:v>
                </c:pt>
                <c:pt idx="306">
                  <c:v>45400</c:v>
                </c:pt>
                <c:pt idx="307">
                  <c:v>45403</c:v>
                </c:pt>
                <c:pt idx="308">
                  <c:v>45404</c:v>
                </c:pt>
                <c:pt idx="309">
                  <c:v>45405</c:v>
                </c:pt>
                <c:pt idx="310">
                  <c:v>45406</c:v>
                </c:pt>
                <c:pt idx="311">
                  <c:v>45407</c:v>
                </c:pt>
                <c:pt idx="312">
                  <c:v>45410</c:v>
                </c:pt>
                <c:pt idx="313">
                  <c:v>45411</c:v>
                </c:pt>
                <c:pt idx="314">
                  <c:v>45412</c:v>
                </c:pt>
                <c:pt idx="315">
                  <c:v>45413</c:v>
                </c:pt>
                <c:pt idx="316">
                  <c:v>45414</c:v>
                </c:pt>
                <c:pt idx="317">
                  <c:v>45417</c:v>
                </c:pt>
                <c:pt idx="318">
                  <c:v>45418</c:v>
                </c:pt>
                <c:pt idx="319">
                  <c:v>45419</c:v>
                </c:pt>
                <c:pt idx="320">
                  <c:v>45420</c:v>
                </c:pt>
                <c:pt idx="321">
                  <c:v>45421</c:v>
                </c:pt>
                <c:pt idx="322">
                  <c:v>45424</c:v>
                </c:pt>
                <c:pt idx="323">
                  <c:v>45425</c:v>
                </c:pt>
                <c:pt idx="324">
                  <c:v>45426</c:v>
                </c:pt>
                <c:pt idx="325">
                  <c:v>45427</c:v>
                </c:pt>
                <c:pt idx="326">
                  <c:v>45428</c:v>
                </c:pt>
                <c:pt idx="327">
                  <c:v>45431</c:v>
                </c:pt>
                <c:pt idx="328">
                  <c:v>45432</c:v>
                </c:pt>
                <c:pt idx="329">
                  <c:v>45433</c:v>
                </c:pt>
                <c:pt idx="330">
                  <c:v>45434</c:v>
                </c:pt>
                <c:pt idx="331">
                  <c:v>45435</c:v>
                </c:pt>
                <c:pt idx="332">
                  <c:v>45439</c:v>
                </c:pt>
                <c:pt idx="333">
                  <c:v>45440</c:v>
                </c:pt>
                <c:pt idx="334">
                  <c:v>45441</c:v>
                </c:pt>
                <c:pt idx="335">
                  <c:v>45442</c:v>
                </c:pt>
                <c:pt idx="336">
                  <c:v>45445</c:v>
                </c:pt>
                <c:pt idx="337">
                  <c:v>45446</c:v>
                </c:pt>
                <c:pt idx="338">
                  <c:v>45447</c:v>
                </c:pt>
                <c:pt idx="339">
                  <c:v>45448</c:v>
                </c:pt>
                <c:pt idx="340">
                  <c:v>45449</c:v>
                </c:pt>
                <c:pt idx="341">
                  <c:v>45452</c:v>
                </c:pt>
                <c:pt idx="342">
                  <c:v>45453</c:v>
                </c:pt>
                <c:pt idx="343">
                  <c:v>45454</c:v>
                </c:pt>
                <c:pt idx="344">
                  <c:v>45455</c:v>
                </c:pt>
                <c:pt idx="345">
                  <c:v>45456</c:v>
                </c:pt>
                <c:pt idx="346">
                  <c:v>45459</c:v>
                </c:pt>
                <c:pt idx="347">
                  <c:v>45460</c:v>
                </c:pt>
                <c:pt idx="348">
                  <c:v>45461</c:v>
                </c:pt>
                <c:pt idx="349">
                  <c:v>45462</c:v>
                </c:pt>
                <c:pt idx="350">
                  <c:v>45463</c:v>
                </c:pt>
                <c:pt idx="351">
                  <c:v>45466</c:v>
                </c:pt>
                <c:pt idx="352">
                  <c:v>45467</c:v>
                </c:pt>
                <c:pt idx="353">
                  <c:v>45468</c:v>
                </c:pt>
                <c:pt idx="354">
                  <c:v>45469</c:v>
                </c:pt>
                <c:pt idx="355">
                  <c:v>45470</c:v>
                </c:pt>
                <c:pt idx="356">
                  <c:v>45473</c:v>
                </c:pt>
                <c:pt idx="357">
                  <c:v>45474</c:v>
                </c:pt>
                <c:pt idx="358">
                  <c:v>45475</c:v>
                </c:pt>
                <c:pt idx="359">
                  <c:v>45477</c:v>
                </c:pt>
                <c:pt idx="360">
                  <c:v>45480</c:v>
                </c:pt>
                <c:pt idx="361">
                  <c:v>45481</c:v>
                </c:pt>
                <c:pt idx="362">
                  <c:v>45482</c:v>
                </c:pt>
                <c:pt idx="363">
                  <c:v>45483</c:v>
                </c:pt>
                <c:pt idx="364">
                  <c:v>45484</c:v>
                </c:pt>
                <c:pt idx="365">
                  <c:v>45487</c:v>
                </c:pt>
                <c:pt idx="366">
                  <c:v>45488</c:v>
                </c:pt>
                <c:pt idx="367">
                  <c:v>45489</c:v>
                </c:pt>
                <c:pt idx="368">
                  <c:v>45490</c:v>
                </c:pt>
                <c:pt idx="369">
                  <c:v>45494</c:v>
                </c:pt>
                <c:pt idx="370">
                  <c:v>45495</c:v>
                </c:pt>
                <c:pt idx="371">
                  <c:v>45496</c:v>
                </c:pt>
                <c:pt idx="372">
                  <c:v>45497</c:v>
                </c:pt>
                <c:pt idx="373">
                  <c:v>45498</c:v>
                </c:pt>
                <c:pt idx="374">
                  <c:v>45501</c:v>
                </c:pt>
                <c:pt idx="375">
                  <c:v>45502</c:v>
                </c:pt>
                <c:pt idx="376">
                  <c:v>45503</c:v>
                </c:pt>
                <c:pt idx="377">
                  <c:v>45504</c:v>
                </c:pt>
                <c:pt idx="378">
                  <c:v>45505</c:v>
                </c:pt>
                <c:pt idx="379">
                  <c:v>45508</c:v>
                </c:pt>
                <c:pt idx="380">
                  <c:v>45509</c:v>
                </c:pt>
                <c:pt idx="381">
                  <c:v>45510</c:v>
                </c:pt>
                <c:pt idx="382">
                  <c:v>45511</c:v>
                </c:pt>
                <c:pt idx="383">
                  <c:v>45512</c:v>
                </c:pt>
                <c:pt idx="384">
                  <c:v>45515</c:v>
                </c:pt>
                <c:pt idx="385">
                  <c:v>45516</c:v>
                </c:pt>
                <c:pt idx="386">
                  <c:v>45517</c:v>
                </c:pt>
                <c:pt idx="387">
                  <c:v>45518</c:v>
                </c:pt>
                <c:pt idx="388">
                  <c:v>45519</c:v>
                </c:pt>
                <c:pt idx="389">
                  <c:v>45522</c:v>
                </c:pt>
                <c:pt idx="390">
                  <c:v>45523</c:v>
                </c:pt>
                <c:pt idx="391">
                  <c:v>45524</c:v>
                </c:pt>
                <c:pt idx="392">
                  <c:v>45525</c:v>
                </c:pt>
                <c:pt idx="393">
                  <c:v>45526</c:v>
                </c:pt>
                <c:pt idx="394">
                  <c:v>45531</c:v>
                </c:pt>
                <c:pt idx="395">
                  <c:v>45532</c:v>
                </c:pt>
                <c:pt idx="396">
                  <c:v>45533</c:v>
                </c:pt>
                <c:pt idx="397">
                  <c:v>45537</c:v>
                </c:pt>
                <c:pt idx="398">
                  <c:v>45538</c:v>
                </c:pt>
                <c:pt idx="399">
                  <c:v>45539</c:v>
                </c:pt>
                <c:pt idx="400">
                  <c:v>45540</c:v>
                </c:pt>
                <c:pt idx="401">
                  <c:v>45543</c:v>
                </c:pt>
                <c:pt idx="402">
                  <c:v>45544</c:v>
                </c:pt>
                <c:pt idx="403">
                  <c:v>45545</c:v>
                </c:pt>
                <c:pt idx="404">
                  <c:v>45546</c:v>
                </c:pt>
                <c:pt idx="405">
                  <c:v>45547</c:v>
                </c:pt>
                <c:pt idx="406">
                  <c:v>45548</c:v>
                </c:pt>
                <c:pt idx="407">
                  <c:v>45550</c:v>
                </c:pt>
                <c:pt idx="408">
                  <c:v>45551</c:v>
                </c:pt>
                <c:pt idx="409">
                  <c:v>45552</c:v>
                </c:pt>
                <c:pt idx="410">
                  <c:v>45553</c:v>
                </c:pt>
                <c:pt idx="411">
                  <c:v>45554</c:v>
                </c:pt>
                <c:pt idx="412">
                  <c:v>45557</c:v>
                </c:pt>
                <c:pt idx="413">
                  <c:v>45558</c:v>
                </c:pt>
                <c:pt idx="414">
                  <c:v>45559</c:v>
                </c:pt>
                <c:pt idx="415">
                  <c:v>45560</c:v>
                </c:pt>
                <c:pt idx="416">
                  <c:v>45561</c:v>
                </c:pt>
                <c:pt idx="417">
                  <c:v>45564</c:v>
                </c:pt>
                <c:pt idx="418">
                  <c:v>45565</c:v>
                </c:pt>
                <c:pt idx="419">
                  <c:v>45566</c:v>
                </c:pt>
                <c:pt idx="420">
                  <c:v>45567</c:v>
                </c:pt>
                <c:pt idx="421">
                  <c:v>45568</c:v>
                </c:pt>
                <c:pt idx="422">
                  <c:v>45572</c:v>
                </c:pt>
                <c:pt idx="423">
                  <c:v>45573</c:v>
                </c:pt>
                <c:pt idx="424">
                  <c:v>45574</c:v>
                </c:pt>
                <c:pt idx="425">
                  <c:v>45575</c:v>
                </c:pt>
                <c:pt idx="426">
                  <c:v>45578</c:v>
                </c:pt>
                <c:pt idx="427">
                  <c:v>45579</c:v>
                </c:pt>
                <c:pt idx="428">
                  <c:v>45580</c:v>
                </c:pt>
                <c:pt idx="429">
                  <c:v>45581</c:v>
                </c:pt>
                <c:pt idx="430">
                  <c:v>45582</c:v>
                </c:pt>
                <c:pt idx="431">
                  <c:v>45585</c:v>
                </c:pt>
                <c:pt idx="432">
                  <c:v>45586</c:v>
                </c:pt>
                <c:pt idx="433">
                  <c:v>45587</c:v>
                </c:pt>
                <c:pt idx="434">
                  <c:v>45588</c:v>
                </c:pt>
                <c:pt idx="435">
                  <c:v>45592</c:v>
                </c:pt>
                <c:pt idx="436">
                  <c:v>45593</c:v>
                </c:pt>
                <c:pt idx="437">
                  <c:v>45594</c:v>
                </c:pt>
                <c:pt idx="438">
                  <c:v>45595</c:v>
                </c:pt>
                <c:pt idx="439">
                  <c:v>45596</c:v>
                </c:pt>
                <c:pt idx="440">
                  <c:v>45599</c:v>
                </c:pt>
                <c:pt idx="441">
                  <c:v>45600</c:v>
                </c:pt>
                <c:pt idx="442">
                  <c:v>45601</c:v>
                </c:pt>
                <c:pt idx="443">
                  <c:v>45602</c:v>
                </c:pt>
                <c:pt idx="444">
                  <c:v>45603</c:v>
                </c:pt>
                <c:pt idx="445">
                  <c:v>45607</c:v>
                </c:pt>
                <c:pt idx="446">
                  <c:v>45608</c:v>
                </c:pt>
                <c:pt idx="447">
                  <c:v>45609</c:v>
                </c:pt>
                <c:pt idx="448">
                  <c:v>45610</c:v>
                </c:pt>
                <c:pt idx="449">
                  <c:v>45613</c:v>
                </c:pt>
                <c:pt idx="450">
                  <c:v>45614</c:v>
                </c:pt>
                <c:pt idx="451">
                  <c:v>45615</c:v>
                </c:pt>
                <c:pt idx="452">
                  <c:v>45616</c:v>
                </c:pt>
                <c:pt idx="453">
                  <c:v>45617</c:v>
                </c:pt>
                <c:pt idx="454">
                  <c:v>45620</c:v>
                </c:pt>
                <c:pt idx="455">
                  <c:v>45621</c:v>
                </c:pt>
                <c:pt idx="456">
                  <c:v>45622</c:v>
                </c:pt>
                <c:pt idx="457">
                  <c:v>45623</c:v>
                </c:pt>
                <c:pt idx="458">
                  <c:v>45624</c:v>
                </c:pt>
                <c:pt idx="459">
                  <c:v>45627</c:v>
                </c:pt>
                <c:pt idx="460">
                  <c:v>45628</c:v>
                </c:pt>
                <c:pt idx="461">
                  <c:v>45629</c:v>
                </c:pt>
                <c:pt idx="462">
                  <c:v>45630</c:v>
                </c:pt>
                <c:pt idx="463">
                  <c:v>45631</c:v>
                </c:pt>
                <c:pt idx="464">
                  <c:v>45634</c:v>
                </c:pt>
                <c:pt idx="465">
                  <c:v>45635</c:v>
                </c:pt>
                <c:pt idx="466">
                  <c:v>45636</c:v>
                </c:pt>
                <c:pt idx="467">
                  <c:v>45637</c:v>
                </c:pt>
                <c:pt idx="468">
                  <c:v>45638</c:v>
                </c:pt>
                <c:pt idx="469">
                  <c:v>45641</c:v>
                </c:pt>
                <c:pt idx="470">
                  <c:v>45642</c:v>
                </c:pt>
                <c:pt idx="471">
                  <c:v>45643</c:v>
                </c:pt>
                <c:pt idx="472">
                  <c:v>45644</c:v>
                </c:pt>
                <c:pt idx="473">
                  <c:v>45645</c:v>
                </c:pt>
                <c:pt idx="474">
                  <c:v>45648</c:v>
                </c:pt>
                <c:pt idx="475">
                  <c:v>45649</c:v>
                </c:pt>
                <c:pt idx="476">
                  <c:v>45650</c:v>
                </c:pt>
                <c:pt idx="477">
                  <c:v>45651</c:v>
                </c:pt>
                <c:pt idx="478">
                  <c:v>45652</c:v>
                </c:pt>
                <c:pt idx="479">
                  <c:v>45655</c:v>
                </c:pt>
                <c:pt idx="480">
                  <c:v>45656</c:v>
                </c:pt>
                <c:pt idx="481">
                  <c:v>45658</c:v>
                </c:pt>
                <c:pt idx="482">
                  <c:v>45659</c:v>
                </c:pt>
                <c:pt idx="483">
                  <c:v>45662</c:v>
                </c:pt>
                <c:pt idx="484">
                  <c:v>45663</c:v>
                </c:pt>
                <c:pt idx="485">
                  <c:v>45664</c:v>
                </c:pt>
                <c:pt idx="486">
                  <c:v>45665</c:v>
                </c:pt>
                <c:pt idx="487">
                  <c:v>45666</c:v>
                </c:pt>
                <c:pt idx="488">
                  <c:v>45669</c:v>
                </c:pt>
                <c:pt idx="489">
                  <c:v>45670</c:v>
                </c:pt>
                <c:pt idx="490">
                  <c:v>45671</c:v>
                </c:pt>
                <c:pt idx="491">
                  <c:v>45672</c:v>
                </c:pt>
                <c:pt idx="492">
                  <c:v>45673</c:v>
                </c:pt>
                <c:pt idx="493">
                  <c:v>45676</c:v>
                </c:pt>
                <c:pt idx="494">
                  <c:v>45677</c:v>
                </c:pt>
                <c:pt idx="495">
                  <c:v>45678</c:v>
                </c:pt>
                <c:pt idx="496">
                  <c:v>45679</c:v>
                </c:pt>
                <c:pt idx="497">
                  <c:v>45680</c:v>
                </c:pt>
                <c:pt idx="498">
                  <c:v>45683</c:v>
                </c:pt>
                <c:pt idx="499">
                  <c:v>45684</c:v>
                </c:pt>
                <c:pt idx="500">
                  <c:v>45685</c:v>
                </c:pt>
                <c:pt idx="501">
                  <c:v>45686</c:v>
                </c:pt>
                <c:pt idx="502">
                  <c:v>45687</c:v>
                </c:pt>
                <c:pt idx="503">
                  <c:v>45690</c:v>
                </c:pt>
                <c:pt idx="504">
                  <c:v>45691</c:v>
                </c:pt>
                <c:pt idx="505">
                  <c:v>45692</c:v>
                </c:pt>
                <c:pt idx="506">
                  <c:v>45693</c:v>
                </c:pt>
                <c:pt idx="507">
                  <c:v>45694</c:v>
                </c:pt>
                <c:pt idx="508">
                  <c:v>45697</c:v>
                </c:pt>
                <c:pt idx="509">
                  <c:v>45698</c:v>
                </c:pt>
                <c:pt idx="510">
                  <c:v>45699</c:v>
                </c:pt>
                <c:pt idx="511">
                  <c:v>45700</c:v>
                </c:pt>
                <c:pt idx="512">
                  <c:v>45701</c:v>
                </c:pt>
                <c:pt idx="513">
                  <c:v>45705</c:v>
                </c:pt>
                <c:pt idx="514">
                  <c:v>45706</c:v>
                </c:pt>
                <c:pt idx="515">
                  <c:v>45707</c:v>
                </c:pt>
                <c:pt idx="516">
                  <c:v>45708</c:v>
                </c:pt>
                <c:pt idx="517">
                  <c:v>45711</c:v>
                </c:pt>
                <c:pt idx="518">
                  <c:v>45712</c:v>
                </c:pt>
                <c:pt idx="519">
                  <c:v>45713</c:v>
                </c:pt>
                <c:pt idx="520">
                  <c:v>45714</c:v>
                </c:pt>
                <c:pt idx="521">
                  <c:v>45715</c:v>
                </c:pt>
                <c:pt idx="522">
                  <c:v>45718</c:v>
                </c:pt>
                <c:pt idx="523">
                  <c:v>45719</c:v>
                </c:pt>
                <c:pt idx="524">
                  <c:v>45720</c:v>
                </c:pt>
                <c:pt idx="525">
                  <c:v>45721</c:v>
                </c:pt>
                <c:pt idx="526">
                  <c:v>45722</c:v>
                </c:pt>
                <c:pt idx="527">
                  <c:v>45725</c:v>
                </c:pt>
                <c:pt idx="528">
                  <c:v>45726</c:v>
                </c:pt>
                <c:pt idx="529">
                  <c:v>45727</c:v>
                </c:pt>
                <c:pt idx="530">
                  <c:v>45728</c:v>
                </c:pt>
                <c:pt idx="531">
                  <c:v>45729</c:v>
                </c:pt>
                <c:pt idx="532">
                  <c:v>45732</c:v>
                </c:pt>
                <c:pt idx="533">
                  <c:v>45733</c:v>
                </c:pt>
                <c:pt idx="534">
                  <c:v>45734</c:v>
                </c:pt>
                <c:pt idx="535">
                  <c:v>45735</c:v>
                </c:pt>
                <c:pt idx="536">
                  <c:v>45736</c:v>
                </c:pt>
                <c:pt idx="537">
                  <c:v>45739</c:v>
                </c:pt>
                <c:pt idx="538">
                  <c:v>45740</c:v>
                </c:pt>
                <c:pt idx="539">
                  <c:v>45741</c:v>
                </c:pt>
                <c:pt idx="540">
                  <c:v>45742</c:v>
                </c:pt>
                <c:pt idx="541">
                  <c:v>45743</c:v>
                </c:pt>
                <c:pt idx="542">
                  <c:v>45746</c:v>
                </c:pt>
                <c:pt idx="543">
                  <c:v>45747</c:v>
                </c:pt>
                <c:pt idx="544">
                  <c:v>45748</c:v>
                </c:pt>
                <c:pt idx="545">
                  <c:v>45749</c:v>
                </c:pt>
                <c:pt idx="546">
                  <c:v>45750</c:v>
                </c:pt>
                <c:pt idx="547">
                  <c:v>45753</c:v>
                </c:pt>
                <c:pt idx="548">
                  <c:v>45754</c:v>
                </c:pt>
                <c:pt idx="549">
                  <c:v>45755</c:v>
                </c:pt>
                <c:pt idx="550">
                  <c:v>45756</c:v>
                </c:pt>
                <c:pt idx="551">
                  <c:v>45757</c:v>
                </c:pt>
                <c:pt idx="552">
                  <c:v>45758</c:v>
                </c:pt>
                <c:pt idx="553">
                  <c:v>45760</c:v>
                </c:pt>
                <c:pt idx="554">
                  <c:v>45761</c:v>
                </c:pt>
                <c:pt idx="555">
                  <c:v>45762</c:v>
                </c:pt>
                <c:pt idx="556">
                  <c:v>45763</c:v>
                </c:pt>
                <c:pt idx="557">
                  <c:v>45764</c:v>
                </c:pt>
                <c:pt idx="558">
                  <c:v>45767</c:v>
                </c:pt>
                <c:pt idx="559">
                  <c:v>45768</c:v>
                </c:pt>
                <c:pt idx="560">
                  <c:v>45769</c:v>
                </c:pt>
                <c:pt idx="561">
                  <c:v>45770</c:v>
                </c:pt>
                <c:pt idx="562">
                  <c:v>45771</c:v>
                </c:pt>
                <c:pt idx="563">
                  <c:v>45774</c:v>
                </c:pt>
                <c:pt idx="564">
                  <c:v>45775</c:v>
                </c:pt>
                <c:pt idx="565">
                  <c:v>45776</c:v>
                </c:pt>
                <c:pt idx="566">
                  <c:v>45777</c:v>
                </c:pt>
                <c:pt idx="567">
                  <c:v>45778</c:v>
                </c:pt>
                <c:pt idx="568">
                  <c:v>45781</c:v>
                </c:pt>
                <c:pt idx="569">
                  <c:v>45782</c:v>
                </c:pt>
                <c:pt idx="570">
                  <c:v>45783</c:v>
                </c:pt>
                <c:pt idx="571">
                  <c:v>45784</c:v>
                </c:pt>
                <c:pt idx="572">
                  <c:v>45785</c:v>
                </c:pt>
                <c:pt idx="573">
                  <c:v>45788</c:v>
                </c:pt>
                <c:pt idx="574">
                  <c:v>45789</c:v>
                </c:pt>
                <c:pt idx="575">
                  <c:v>45790</c:v>
                </c:pt>
                <c:pt idx="576">
                  <c:v>45791</c:v>
                </c:pt>
                <c:pt idx="577">
                  <c:v>45792</c:v>
                </c:pt>
                <c:pt idx="578">
                  <c:v>45795</c:v>
                </c:pt>
                <c:pt idx="579">
                  <c:v>45796</c:v>
                </c:pt>
                <c:pt idx="580">
                  <c:v>45798</c:v>
                </c:pt>
                <c:pt idx="581">
                  <c:v>45799</c:v>
                </c:pt>
                <c:pt idx="582">
                  <c:v>45804</c:v>
                </c:pt>
                <c:pt idx="583">
                  <c:v>45805</c:v>
                </c:pt>
                <c:pt idx="584">
                  <c:v>45806</c:v>
                </c:pt>
                <c:pt idx="585">
                  <c:v>45809</c:v>
                </c:pt>
                <c:pt idx="586">
                  <c:v>45810</c:v>
                </c:pt>
                <c:pt idx="587">
                  <c:v>45811</c:v>
                </c:pt>
                <c:pt idx="588">
                  <c:v>45812</c:v>
                </c:pt>
                <c:pt idx="589">
                  <c:v>45813</c:v>
                </c:pt>
                <c:pt idx="590">
                  <c:v>45816</c:v>
                </c:pt>
                <c:pt idx="591">
                  <c:v>45817</c:v>
                </c:pt>
                <c:pt idx="592">
                  <c:v>45818</c:v>
                </c:pt>
                <c:pt idx="593">
                  <c:v>45825</c:v>
                </c:pt>
                <c:pt idx="594">
                  <c:v>45827</c:v>
                </c:pt>
                <c:pt idx="595">
                  <c:v>45830</c:v>
                </c:pt>
                <c:pt idx="596">
                  <c:v>45831</c:v>
                </c:pt>
                <c:pt idx="597">
                  <c:v>45832</c:v>
                </c:pt>
                <c:pt idx="598">
                  <c:v>45833</c:v>
                </c:pt>
                <c:pt idx="599">
                  <c:v>45834</c:v>
                </c:pt>
                <c:pt idx="600">
                  <c:v>45837</c:v>
                </c:pt>
                <c:pt idx="601">
                  <c:v>45838</c:v>
                </c:pt>
                <c:pt idx="602">
                  <c:v>45839</c:v>
                </c:pt>
                <c:pt idx="603">
                  <c:v>45840</c:v>
                </c:pt>
                <c:pt idx="604">
                  <c:v>45844</c:v>
                </c:pt>
                <c:pt idx="605">
                  <c:v>45845</c:v>
                </c:pt>
                <c:pt idx="606">
                  <c:v>45846</c:v>
                </c:pt>
                <c:pt idx="607">
                  <c:v>45847</c:v>
                </c:pt>
                <c:pt idx="608">
                  <c:v>45848</c:v>
                </c:pt>
                <c:pt idx="609">
                  <c:v>45851</c:v>
                </c:pt>
                <c:pt idx="610">
                  <c:v>45852</c:v>
                </c:pt>
                <c:pt idx="611">
                  <c:v>45853</c:v>
                </c:pt>
                <c:pt idx="612">
                  <c:v>45854</c:v>
                </c:pt>
                <c:pt idx="613">
                  <c:v>45855</c:v>
                </c:pt>
                <c:pt idx="614">
                  <c:v>45859</c:v>
                </c:pt>
                <c:pt idx="615">
                  <c:v>45860</c:v>
                </c:pt>
                <c:pt idx="616">
                  <c:v>45861</c:v>
                </c:pt>
                <c:pt idx="617">
                  <c:v>45862</c:v>
                </c:pt>
                <c:pt idx="618">
                  <c:v>45865</c:v>
                </c:pt>
                <c:pt idx="619">
                  <c:v>45866</c:v>
                </c:pt>
                <c:pt idx="620">
                  <c:v>45867</c:v>
                </c:pt>
                <c:pt idx="621">
                  <c:v>45868</c:v>
                </c:pt>
                <c:pt idx="622">
                  <c:v>45869</c:v>
                </c:pt>
                <c:pt idx="623">
                  <c:v>45872</c:v>
                </c:pt>
                <c:pt idx="624">
                  <c:v>45873</c:v>
                </c:pt>
                <c:pt idx="625">
                  <c:v>45874</c:v>
                </c:pt>
                <c:pt idx="626">
                  <c:v>45875</c:v>
                </c:pt>
                <c:pt idx="627">
                  <c:v>45876</c:v>
                </c:pt>
                <c:pt idx="628">
                  <c:v>45879</c:v>
                </c:pt>
                <c:pt idx="629">
                  <c:v>45880</c:v>
                </c:pt>
                <c:pt idx="630">
                  <c:v>45881</c:v>
                </c:pt>
                <c:pt idx="631">
                  <c:v>45882</c:v>
                </c:pt>
                <c:pt idx="632">
                  <c:v>45883</c:v>
                </c:pt>
                <c:pt idx="633">
                  <c:v>45886</c:v>
                </c:pt>
                <c:pt idx="634">
                  <c:v>45887</c:v>
                </c:pt>
                <c:pt idx="635">
                  <c:v>45888</c:v>
                </c:pt>
                <c:pt idx="636">
                  <c:v>45889</c:v>
                </c:pt>
                <c:pt idx="637">
                  <c:v>45890</c:v>
                </c:pt>
                <c:pt idx="638">
                  <c:v>45893</c:v>
                </c:pt>
                <c:pt idx="639">
                  <c:v>45894</c:v>
                </c:pt>
                <c:pt idx="640">
                  <c:v>45895</c:v>
                </c:pt>
                <c:pt idx="641">
                  <c:v>45896</c:v>
                </c:pt>
                <c:pt idx="642">
                  <c:v>45897</c:v>
                </c:pt>
                <c:pt idx="643">
                  <c:v>45901</c:v>
                </c:pt>
                <c:pt idx="644">
                  <c:v>45902</c:v>
                </c:pt>
                <c:pt idx="645">
                  <c:v>45903</c:v>
                </c:pt>
                <c:pt idx="646">
                  <c:v>45904</c:v>
                </c:pt>
                <c:pt idx="647">
                  <c:v>45907</c:v>
                </c:pt>
                <c:pt idx="648">
                  <c:v>45908</c:v>
                </c:pt>
                <c:pt idx="649">
                  <c:v>45909</c:v>
                </c:pt>
                <c:pt idx="650">
                  <c:v>45910</c:v>
                </c:pt>
                <c:pt idx="651">
                  <c:v>45911</c:v>
                </c:pt>
                <c:pt idx="652">
                  <c:v>45914</c:v>
                </c:pt>
                <c:pt idx="653">
                  <c:v>45915</c:v>
                </c:pt>
                <c:pt idx="654">
                  <c:v>45916</c:v>
                </c:pt>
                <c:pt idx="655">
                  <c:v>45917</c:v>
                </c:pt>
                <c:pt idx="656">
                  <c:v>45918</c:v>
                </c:pt>
                <c:pt idx="657">
                  <c:v>45921</c:v>
                </c:pt>
                <c:pt idx="658">
                  <c:v>45922</c:v>
                </c:pt>
                <c:pt idx="659">
                  <c:v>45923</c:v>
                </c:pt>
                <c:pt idx="660">
                  <c:v>45924</c:v>
                </c:pt>
                <c:pt idx="661">
                  <c:v>45925</c:v>
                </c:pt>
                <c:pt idx="662">
                  <c:v>45928</c:v>
                </c:pt>
                <c:pt idx="663">
                  <c:v>45929</c:v>
                </c:pt>
                <c:pt idx="664">
                  <c:v>45930</c:v>
                </c:pt>
                <c:pt idx="665">
                  <c:v>45931</c:v>
                </c:pt>
                <c:pt idx="666">
                  <c:v>45932</c:v>
                </c:pt>
                <c:pt idx="667">
                  <c:v>45935</c:v>
                </c:pt>
                <c:pt idx="668">
                  <c:v>45936</c:v>
                </c:pt>
                <c:pt idx="669">
                  <c:v>45937</c:v>
                </c:pt>
                <c:pt idx="670">
                  <c:v>45938</c:v>
                </c:pt>
                <c:pt idx="671">
                  <c:v>45939</c:v>
                </c:pt>
                <c:pt idx="672">
                  <c:v>45943</c:v>
                </c:pt>
                <c:pt idx="673">
                  <c:v>45944</c:v>
                </c:pt>
                <c:pt idx="674">
                  <c:v>45945</c:v>
                </c:pt>
                <c:pt idx="675">
                  <c:v>45946</c:v>
                </c:pt>
                <c:pt idx="676">
                  <c:v>45949</c:v>
                </c:pt>
                <c:pt idx="677">
                  <c:v>45950</c:v>
                </c:pt>
                <c:pt idx="678">
                  <c:v>45951</c:v>
                </c:pt>
                <c:pt idx="679">
                  <c:v>45952</c:v>
                </c:pt>
                <c:pt idx="680">
                  <c:v>45953</c:v>
                </c:pt>
                <c:pt idx="681">
                  <c:v>45956</c:v>
                </c:pt>
                <c:pt idx="682">
                  <c:v>45957</c:v>
                </c:pt>
                <c:pt idx="683">
                  <c:v>45958</c:v>
                </c:pt>
                <c:pt idx="684">
                  <c:v>45959</c:v>
                </c:pt>
                <c:pt idx="685">
                  <c:v>45960</c:v>
                </c:pt>
                <c:pt idx="686">
                  <c:v>45963</c:v>
                </c:pt>
                <c:pt idx="687">
                  <c:v>45964</c:v>
                </c:pt>
                <c:pt idx="688">
                  <c:v>45965</c:v>
                </c:pt>
                <c:pt idx="689">
                  <c:v>45966</c:v>
                </c:pt>
                <c:pt idx="690">
                  <c:v>45967</c:v>
                </c:pt>
                <c:pt idx="691">
                  <c:v>45970</c:v>
                </c:pt>
                <c:pt idx="692">
                  <c:v>45972</c:v>
                </c:pt>
                <c:pt idx="693">
                  <c:v>45973</c:v>
                </c:pt>
                <c:pt idx="694">
                  <c:v>45974</c:v>
                </c:pt>
                <c:pt idx="695">
                  <c:v>45977</c:v>
                </c:pt>
                <c:pt idx="696">
                  <c:v>45978</c:v>
                </c:pt>
                <c:pt idx="697">
                  <c:v>45979</c:v>
                </c:pt>
                <c:pt idx="698">
                  <c:v>45980</c:v>
                </c:pt>
                <c:pt idx="699">
                  <c:v>45981</c:v>
                </c:pt>
                <c:pt idx="700">
                  <c:v>45984</c:v>
                </c:pt>
                <c:pt idx="701">
                  <c:v>45985</c:v>
                </c:pt>
                <c:pt idx="702">
                  <c:v>45986</c:v>
                </c:pt>
                <c:pt idx="703">
                  <c:v>45988</c:v>
                </c:pt>
                <c:pt idx="704">
                  <c:v>45991</c:v>
                </c:pt>
                <c:pt idx="705">
                  <c:v>45992</c:v>
                </c:pt>
                <c:pt idx="706">
                  <c:v>45993</c:v>
                </c:pt>
                <c:pt idx="707">
                  <c:v>45994</c:v>
                </c:pt>
                <c:pt idx="708">
                  <c:v>45995</c:v>
                </c:pt>
                <c:pt idx="709">
                  <c:v>45998</c:v>
                </c:pt>
                <c:pt idx="710">
                  <c:v>45999</c:v>
                </c:pt>
                <c:pt idx="711">
                  <c:v>46000</c:v>
                </c:pt>
                <c:pt idx="712">
                  <c:v>46001</c:v>
                </c:pt>
                <c:pt idx="713">
                  <c:v>46002</c:v>
                </c:pt>
                <c:pt idx="714">
                  <c:v>46005</c:v>
                </c:pt>
                <c:pt idx="715">
                  <c:v>46006</c:v>
                </c:pt>
                <c:pt idx="716">
                  <c:v>46007</c:v>
                </c:pt>
                <c:pt idx="717">
                  <c:v>46008</c:v>
                </c:pt>
                <c:pt idx="718">
                  <c:v>46009</c:v>
                </c:pt>
                <c:pt idx="719">
                  <c:v>46012</c:v>
                </c:pt>
              </c:numCache>
            </c:numRef>
          </c:cat>
          <c:val>
            <c:numRef>
              <c:f>Clean_Data!$B$2:$B$721</c:f>
              <c:numCache>
                <c:formatCode>General</c:formatCode>
                <c:ptCount val="720"/>
                <c:pt idx="0">
                  <c:v>33</c:v>
                </c:pt>
                <c:pt idx="1">
                  <c:v>32</c:v>
                </c:pt>
                <c:pt idx="2">
                  <c:v>32</c:v>
                </c:pt>
                <c:pt idx="3">
                  <c:v>47</c:v>
                </c:pt>
                <c:pt idx="4">
                  <c:v>20</c:v>
                </c:pt>
                <c:pt idx="5">
                  <c:v>23</c:v>
                </c:pt>
                <c:pt idx="6">
                  <c:v>34</c:v>
                </c:pt>
                <c:pt idx="7">
                  <c:v>26</c:v>
                </c:pt>
                <c:pt idx="8">
                  <c:v>25</c:v>
                </c:pt>
                <c:pt idx="9">
                  <c:v>15</c:v>
                </c:pt>
                <c:pt idx="10">
                  <c:v>16</c:v>
                </c:pt>
                <c:pt idx="11">
                  <c:v>11</c:v>
                </c:pt>
                <c:pt idx="12">
                  <c:v>16</c:v>
                </c:pt>
                <c:pt idx="13">
                  <c:v>93</c:v>
                </c:pt>
                <c:pt idx="14">
                  <c:v>124</c:v>
                </c:pt>
                <c:pt idx="15">
                  <c:v>92</c:v>
                </c:pt>
                <c:pt idx="16">
                  <c:v>186</c:v>
                </c:pt>
                <c:pt idx="17">
                  <c:v>154</c:v>
                </c:pt>
                <c:pt idx="18">
                  <c:v>91</c:v>
                </c:pt>
                <c:pt idx="19">
                  <c:v>81</c:v>
                </c:pt>
                <c:pt idx="20">
                  <c:v>209</c:v>
                </c:pt>
                <c:pt idx="21">
                  <c:v>184</c:v>
                </c:pt>
                <c:pt idx="22">
                  <c:v>107</c:v>
                </c:pt>
                <c:pt idx="23">
                  <c:v>101</c:v>
                </c:pt>
                <c:pt idx="24">
                  <c:v>99</c:v>
                </c:pt>
                <c:pt idx="25">
                  <c:v>167</c:v>
                </c:pt>
                <c:pt idx="26">
                  <c:v>115</c:v>
                </c:pt>
                <c:pt idx="27">
                  <c:v>84</c:v>
                </c:pt>
                <c:pt idx="28">
                  <c:v>130</c:v>
                </c:pt>
                <c:pt idx="29">
                  <c:v>88</c:v>
                </c:pt>
                <c:pt idx="30">
                  <c:v>113</c:v>
                </c:pt>
                <c:pt idx="31">
                  <c:v>174</c:v>
                </c:pt>
                <c:pt idx="32">
                  <c:v>104</c:v>
                </c:pt>
                <c:pt idx="33">
                  <c:v>147</c:v>
                </c:pt>
                <c:pt idx="34">
                  <c:v>108</c:v>
                </c:pt>
                <c:pt idx="35">
                  <c:v>180</c:v>
                </c:pt>
                <c:pt idx="36">
                  <c:v>134</c:v>
                </c:pt>
                <c:pt idx="37">
                  <c:v>202</c:v>
                </c:pt>
                <c:pt idx="38">
                  <c:v>110</c:v>
                </c:pt>
                <c:pt idx="39">
                  <c:v>166</c:v>
                </c:pt>
                <c:pt idx="40">
                  <c:v>136</c:v>
                </c:pt>
                <c:pt idx="41">
                  <c:v>87</c:v>
                </c:pt>
                <c:pt idx="42">
                  <c:v>84</c:v>
                </c:pt>
                <c:pt idx="43">
                  <c:v>167</c:v>
                </c:pt>
                <c:pt idx="44">
                  <c:v>109</c:v>
                </c:pt>
                <c:pt idx="45">
                  <c:v>156</c:v>
                </c:pt>
                <c:pt idx="46">
                  <c:v>125</c:v>
                </c:pt>
                <c:pt idx="47">
                  <c:v>118</c:v>
                </c:pt>
                <c:pt idx="48">
                  <c:v>142</c:v>
                </c:pt>
                <c:pt idx="49">
                  <c:v>148</c:v>
                </c:pt>
                <c:pt idx="50">
                  <c:v>119</c:v>
                </c:pt>
                <c:pt idx="51">
                  <c:v>105</c:v>
                </c:pt>
                <c:pt idx="52">
                  <c:v>143</c:v>
                </c:pt>
                <c:pt idx="53">
                  <c:v>119</c:v>
                </c:pt>
                <c:pt idx="54">
                  <c:v>155</c:v>
                </c:pt>
                <c:pt idx="55">
                  <c:v>109</c:v>
                </c:pt>
                <c:pt idx="56">
                  <c:v>191</c:v>
                </c:pt>
                <c:pt idx="57">
                  <c:v>170</c:v>
                </c:pt>
                <c:pt idx="58">
                  <c:v>152</c:v>
                </c:pt>
                <c:pt idx="59">
                  <c:v>239</c:v>
                </c:pt>
                <c:pt idx="60">
                  <c:v>113</c:v>
                </c:pt>
                <c:pt idx="61">
                  <c:v>196</c:v>
                </c:pt>
                <c:pt idx="62">
                  <c:v>236</c:v>
                </c:pt>
                <c:pt idx="63">
                  <c:v>81</c:v>
                </c:pt>
                <c:pt idx="64">
                  <c:v>118</c:v>
                </c:pt>
                <c:pt idx="65">
                  <c:v>218</c:v>
                </c:pt>
                <c:pt idx="66">
                  <c:v>132</c:v>
                </c:pt>
                <c:pt idx="67">
                  <c:v>224</c:v>
                </c:pt>
                <c:pt idx="68">
                  <c:v>167</c:v>
                </c:pt>
                <c:pt idx="69">
                  <c:v>209</c:v>
                </c:pt>
                <c:pt idx="70">
                  <c:v>153</c:v>
                </c:pt>
                <c:pt idx="71">
                  <c:v>180</c:v>
                </c:pt>
                <c:pt idx="72">
                  <c:v>133</c:v>
                </c:pt>
                <c:pt idx="73">
                  <c:v>187</c:v>
                </c:pt>
                <c:pt idx="74">
                  <c:v>168</c:v>
                </c:pt>
                <c:pt idx="75">
                  <c:v>269</c:v>
                </c:pt>
                <c:pt idx="76">
                  <c:v>100</c:v>
                </c:pt>
                <c:pt idx="77">
                  <c:v>205</c:v>
                </c:pt>
                <c:pt idx="78">
                  <c:v>161</c:v>
                </c:pt>
                <c:pt idx="79">
                  <c:v>57</c:v>
                </c:pt>
                <c:pt idx="80">
                  <c:v>80</c:v>
                </c:pt>
                <c:pt idx="81">
                  <c:v>107</c:v>
                </c:pt>
                <c:pt idx="82">
                  <c:v>99</c:v>
                </c:pt>
                <c:pt idx="83">
                  <c:v>25</c:v>
                </c:pt>
                <c:pt idx="84">
                  <c:v>35</c:v>
                </c:pt>
                <c:pt idx="85">
                  <c:v>43</c:v>
                </c:pt>
                <c:pt idx="86">
                  <c:v>41</c:v>
                </c:pt>
                <c:pt idx="87">
                  <c:v>65</c:v>
                </c:pt>
                <c:pt idx="88">
                  <c:v>38</c:v>
                </c:pt>
                <c:pt idx="89">
                  <c:v>56</c:v>
                </c:pt>
                <c:pt idx="90">
                  <c:v>74</c:v>
                </c:pt>
                <c:pt idx="91">
                  <c:v>68</c:v>
                </c:pt>
                <c:pt idx="92">
                  <c:v>92</c:v>
                </c:pt>
                <c:pt idx="93">
                  <c:v>113</c:v>
                </c:pt>
                <c:pt idx="94">
                  <c:v>106</c:v>
                </c:pt>
                <c:pt idx="95">
                  <c:v>86</c:v>
                </c:pt>
                <c:pt idx="96">
                  <c:v>84</c:v>
                </c:pt>
                <c:pt idx="97">
                  <c:v>59</c:v>
                </c:pt>
                <c:pt idx="98">
                  <c:v>62</c:v>
                </c:pt>
                <c:pt idx="99">
                  <c:v>91</c:v>
                </c:pt>
                <c:pt idx="100">
                  <c:v>29</c:v>
                </c:pt>
                <c:pt idx="101">
                  <c:v>33</c:v>
                </c:pt>
                <c:pt idx="102">
                  <c:v>93</c:v>
                </c:pt>
                <c:pt idx="103">
                  <c:v>124</c:v>
                </c:pt>
                <c:pt idx="104">
                  <c:v>92</c:v>
                </c:pt>
                <c:pt idx="105">
                  <c:v>186</c:v>
                </c:pt>
                <c:pt idx="106">
                  <c:v>154</c:v>
                </c:pt>
                <c:pt idx="107">
                  <c:v>91</c:v>
                </c:pt>
                <c:pt idx="108">
                  <c:v>81</c:v>
                </c:pt>
                <c:pt idx="109">
                  <c:v>209</c:v>
                </c:pt>
                <c:pt idx="110">
                  <c:v>184</c:v>
                </c:pt>
                <c:pt idx="111">
                  <c:v>107</c:v>
                </c:pt>
                <c:pt idx="112">
                  <c:v>101</c:v>
                </c:pt>
                <c:pt idx="113">
                  <c:v>99</c:v>
                </c:pt>
                <c:pt idx="114">
                  <c:v>167</c:v>
                </c:pt>
                <c:pt idx="115">
                  <c:v>115</c:v>
                </c:pt>
                <c:pt idx="116">
                  <c:v>84</c:v>
                </c:pt>
                <c:pt idx="117">
                  <c:v>130</c:v>
                </c:pt>
                <c:pt idx="118">
                  <c:v>88</c:v>
                </c:pt>
                <c:pt idx="119">
                  <c:v>113</c:v>
                </c:pt>
                <c:pt idx="120">
                  <c:v>174</c:v>
                </c:pt>
                <c:pt idx="121">
                  <c:v>104</c:v>
                </c:pt>
                <c:pt idx="122">
                  <c:v>147</c:v>
                </c:pt>
                <c:pt idx="123">
                  <c:v>108</c:v>
                </c:pt>
                <c:pt idx="124">
                  <c:v>180</c:v>
                </c:pt>
                <c:pt idx="125">
                  <c:v>134</c:v>
                </c:pt>
                <c:pt idx="126">
                  <c:v>202</c:v>
                </c:pt>
                <c:pt idx="127">
                  <c:v>110</c:v>
                </c:pt>
                <c:pt idx="128">
                  <c:v>166</c:v>
                </c:pt>
                <c:pt idx="129">
                  <c:v>136</c:v>
                </c:pt>
                <c:pt idx="130">
                  <c:v>87</c:v>
                </c:pt>
                <c:pt idx="131">
                  <c:v>84</c:v>
                </c:pt>
                <c:pt idx="132">
                  <c:v>167</c:v>
                </c:pt>
                <c:pt idx="133">
                  <c:v>109</c:v>
                </c:pt>
                <c:pt idx="134">
                  <c:v>156</c:v>
                </c:pt>
                <c:pt idx="135">
                  <c:v>125</c:v>
                </c:pt>
                <c:pt idx="136">
                  <c:v>118</c:v>
                </c:pt>
                <c:pt idx="137">
                  <c:v>142</c:v>
                </c:pt>
                <c:pt idx="138">
                  <c:v>148</c:v>
                </c:pt>
                <c:pt idx="139">
                  <c:v>119</c:v>
                </c:pt>
                <c:pt idx="140">
                  <c:v>105</c:v>
                </c:pt>
                <c:pt idx="141">
                  <c:v>143</c:v>
                </c:pt>
                <c:pt idx="142">
                  <c:v>119</c:v>
                </c:pt>
                <c:pt idx="143">
                  <c:v>155</c:v>
                </c:pt>
                <c:pt idx="144">
                  <c:v>109</c:v>
                </c:pt>
                <c:pt idx="145">
                  <c:v>191</c:v>
                </c:pt>
                <c:pt idx="146">
                  <c:v>170</c:v>
                </c:pt>
                <c:pt idx="147">
                  <c:v>152</c:v>
                </c:pt>
                <c:pt idx="148">
                  <c:v>239</c:v>
                </c:pt>
                <c:pt idx="149">
                  <c:v>113</c:v>
                </c:pt>
                <c:pt idx="150">
                  <c:v>196</c:v>
                </c:pt>
                <c:pt idx="151">
                  <c:v>236</c:v>
                </c:pt>
                <c:pt idx="152">
                  <c:v>81</c:v>
                </c:pt>
                <c:pt idx="153">
                  <c:v>118</c:v>
                </c:pt>
                <c:pt idx="154">
                  <c:v>218</c:v>
                </c:pt>
                <c:pt idx="155">
                  <c:v>132</c:v>
                </c:pt>
                <c:pt idx="156">
                  <c:v>224</c:v>
                </c:pt>
                <c:pt idx="157">
                  <c:v>167</c:v>
                </c:pt>
                <c:pt idx="158">
                  <c:v>209</c:v>
                </c:pt>
                <c:pt idx="159">
                  <c:v>153</c:v>
                </c:pt>
                <c:pt idx="160">
                  <c:v>180</c:v>
                </c:pt>
                <c:pt idx="161">
                  <c:v>133</c:v>
                </c:pt>
                <c:pt idx="162">
                  <c:v>187</c:v>
                </c:pt>
                <c:pt idx="163">
                  <c:v>168</c:v>
                </c:pt>
                <c:pt idx="164">
                  <c:v>269</c:v>
                </c:pt>
                <c:pt idx="165">
                  <c:v>100</c:v>
                </c:pt>
                <c:pt idx="166">
                  <c:v>205</c:v>
                </c:pt>
                <c:pt idx="167">
                  <c:v>161</c:v>
                </c:pt>
                <c:pt idx="168">
                  <c:v>57</c:v>
                </c:pt>
                <c:pt idx="169">
                  <c:v>80</c:v>
                </c:pt>
                <c:pt idx="170">
                  <c:v>107</c:v>
                </c:pt>
                <c:pt idx="171">
                  <c:v>99</c:v>
                </c:pt>
                <c:pt idx="172">
                  <c:v>25</c:v>
                </c:pt>
                <c:pt idx="173">
                  <c:v>35</c:v>
                </c:pt>
                <c:pt idx="174">
                  <c:v>43</c:v>
                </c:pt>
                <c:pt idx="175">
                  <c:v>41</c:v>
                </c:pt>
                <c:pt idx="176">
                  <c:v>65</c:v>
                </c:pt>
                <c:pt idx="177">
                  <c:v>38</c:v>
                </c:pt>
                <c:pt idx="178">
                  <c:v>56</c:v>
                </c:pt>
                <c:pt idx="179">
                  <c:v>74</c:v>
                </c:pt>
                <c:pt idx="180">
                  <c:v>68</c:v>
                </c:pt>
                <c:pt idx="181">
                  <c:v>92</c:v>
                </c:pt>
                <c:pt idx="182">
                  <c:v>113</c:v>
                </c:pt>
                <c:pt idx="183">
                  <c:v>106</c:v>
                </c:pt>
                <c:pt idx="184">
                  <c:v>86</c:v>
                </c:pt>
                <c:pt idx="185">
                  <c:v>84</c:v>
                </c:pt>
                <c:pt idx="186">
                  <c:v>59</c:v>
                </c:pt>
                <c:pt idx="187">
                  <c:v>62</c:v>
                </c:pt>
                <c:pt idx="188">
                  <c:v>91</c:v>
                </c:pt>
                <c:pt idx="189">
                  <c:v>29</c:v>
                </c:pt>
                <c:pt idx="190">
                  <c:v>33</c:v>
                </c:pt>
                <c:pt idx="191">
                  <c:v>132</c:v>
                </c:pt>
                <c:pt idx="192">
                  <c:v>174</c:v>
                </c:pt>
                <c:pt idx="193">
                  <c:v>123</c:v>
                </c:pt>
                <c:pt idx="194">
                  <c:v>123</c:v>
                </c:pt>
                <c:pt idx="195">
                  <c:v>141</c:v>
                </c:pt>
                <c:pt idx="196">
                  <c:v>158</c:v>
                </c:pt>
                <c:pt idx="197">
                  <c:v>96</c:v>
                </c:pt>
                <c:pt idx="198">
                  <c:v>141</c:v>
                </c:pt>
                <c:pt idx="199">
                  <c:v>116</c:v>
                </c:pt>
                <c:pt idx="200">
                  <c:v>150</c:v>
                </c:pt>
                <c:pt idx="201">
                  <c:v>80</c:v>
                </c:pt>
                <c:pt idx="202">
                  <c:v>116</c:v>
                </c:pt>
                <c:pt idx="203">
                  <c:v>105</c:v>
                </c:pt>
                <c:pt idx="204">
                  <c:v>136</c:v>
                </c:pt>
                <c:pt idx="205">
                  <c:v>128</c:v>
                </c:pt>
                <c:pt idx="206">
                  <c:v>90</c:v>
                </c:pt>
                <c:pt idx="207">
                  <c:v>56</c:v>
                </c:pt>
                <c:pt idx="208">
                  <c:v>74</c:v>
                </c:pt>
                <c:pt idx="209">
                  <c:v>68</c:v>
                </c:pt>
                <c:pt idx="210">
                  <c:v>92</c:v>
                </c:pt>
                <c:pt idx="211">
                  <c:v>132</c:v>
                </c:pt>
                <c:pt idx="212">
                  <c:v>174</c:v>
                </c:pt>
                <c:pt idx="213">
                  <c:v>123</c:v>
                </c:pt>
                <c:pt idx="214">
                  <c:v>123</c:v>
                </c:pt>
                <c:pt idx="215">
                  <c:v>141</c:v>
                </c:pt>
                <c:pt idx="216">
                  <c:v>158</c:v>
                </c:pt>
                <c:pt idx="217">
                  <c:v>96</c:v>
                </c:pt>
                <c:pt idx="218">
                  <c:v>141</c:v>
                </c:pt>
                <c:pt idx="219">
                  <c:v>116</c:v>
                </c:pt>
                <c:pt idx="220">
                  <c:v>150</c:v>
                </c:pt>
                <c:pt idx="221">
                  <c:v>80</c:v>
                </c:pt>
                <c:pt idx="222">
                  <c:v>116</c:v>
                </c:pt>
                <c:pt idx="223">
                  <c:v>105</c:v>
                </c:pt>
                <c:pt idx="224">
                  <c:v>136</c:v>
                </c:pt>
                <c:pt idx="225">
                  <c:v>128</c:v>
                </c:pt>
                <c:pt idx="226">
                  <c:v>90</c:v>
                </c:pt>
                <c:pt idx="227">
                  <c:v>56</c:v>
                </c:pt>
                <c:pt idx="228">
                  <c:v>74</c:v>
                </c:pt>
                <c:pt idx="229">
                  <c:v>68</c:v>
                </c:pt>
                <c:pt idx="230">
                  <c:v>92</c:v>
                </c:pt>
                <c:pt idx="231">
                  <c:v>113</c:v>
                </c:pt>
                <c:pt idx="232">
                  <c:v>106</c:v>
                </c:pt>
                <c:pt idx="233">
                  <c:v>86</c:v>
                </c:pt>
                <c:pt idx="234">
                  <c:v>84</c:v>
                </c:pt>
                <c:pt idx="235">
                  <c:v>59</c:v>
                </c:pt>
                <c:pt idx="236">
                  <c:v>62</c:v>
                </c:pt>
                <c:pt idx="237">
                  <c:v>91</c:v>
                </c:pt>
                <c:pt idx="238">
                  <c:v>29</c:v>
                </c:pt>
                <c:pt idx="239">
                  <c:v>33</c:v>
                </c:pt>
                <c:pt idx="240">
                  <c:v>32</c:v>
                </c:pt>
                <c:pt idx="241">
                  <c:v>80</c:v>
                </c:pt>
                <c:pt idx="242">
                  <c:v>116</c:v>
                </c:pt>
                <c:pt idx="243">
                  <c:v>105</c:v>
                </c:pt>
                <c:pt idx="244">
                  <c:v>136</c:v>
                </c:pt>
                <c:pt idx="245">
                  <c:v>128</c:v>
                </c:pt>
                <c:pt idx="246">
                  <c:v>90</c:v>
                </c:pt>
                <c:pt idx="247">
                  <c:v>102</c:v>
                </c:pt>
                <c:pt idx="248">
                  <c:v>120</c:v>
                </c:pt>
                <c:pt idx="249">
                  <c:v>137</c:v>
                </c:pt>
                <c:pt idx="250">
                  <c:v>93</c:v>
                </c:pt>
                <c:pt idx="251">
                  <c:v>203</c:v>
                </c:pt>
                <c:pt idx="252">
                  <c:v>222</c:v>
                </c:pt>
                <c:pt idx="253">
                  <c:v>253</c:v>
                </c:pt>
                <c:pt idx="254">
                  <c:v>157</c:v>
                </c:pt>
                <c:pt idx="255">
                  <c:v>291</c:v>
                </c:pt>
                <c:pt idx="256">
                  <c:v>227</c:v>
                </c:pt>
                <c:pt idx="257">
                  <c:v>298</c:v>
                </c:pt>
                <c:pt idx="258">
                  <c:v>205</c:v>
                </c:pt>
                <c:pt idx="259">
                  <c:v>213</c:v>
                </c:pt>
                <c:pt idx="260">
                  <c:v>227</c:v>
                </c:pt>
                <c:pt idx="261">
                  <c:v>185</c:v>
                </c:pt>
                <c:pt idx="262">
                  <c:v>333</c:v>
                </c:pt>
                <c:pt idx="263">
                  <c:v>249</c:v>
                </c:pt>
                <c:pt idx="264">
                  <c:v>149</c:v>
                </c:pt>
                <c:pt idx="265">
                  <c:v>232</c:v>
                </c:pt>
                <c:pt idx="266">
                  <c:v>165</c:v>
                </c:pt>
                <c:pt idx="267">
                  <c:v>244</c:v>
                </c:pt>
                <c:pt idx="268">
                  <c:v>199</c:v>
                </c:pt>
                <c:pt idx="269">
                  <c:v>197</c:v>
                </c:pt>
                <c:pt idx="270">
                  <c:v>209</c:v>
                </c:pt>
                <c:pt idx="271">
                  <c:v>262</c:v>
                </c:pt>
                <c:pt idx="272">
                  <c:v>236</c:v>
                </c:pt>
                <c:pt idx="273">
                  <c:v>225</c:v>
                </c:pt>
                <c:pt idx="274">
                  <c:v>246</c:v>
                </c:pt>
                <c:pt idx="275">
                  <c:v>230</c:v>
                </c:pt>
                <c:pt idx="276">
                  <c:v>181</c:v>
                </c:pt>
                <c:pt idx="277">
                  <c:v>190</c:v>
                </c:pt>
                <c:pt idx="278">
                  <c:v>178</c:v>
                </c:pt>
                <c:pt idx="279">
                  <c:v>154</c:v>
                </c:pt>
                <c:pt idx="280">
                  <c:v>165</c:v>
                </c:pt>
                <c:pt idx="281">
                  <c:v>166</c:v>
                </c:pt>
                <c:pt idx="282">
                  <c:v>127</c:v>
                </c:pt>
                <c:pt idx="283">
                  <c:v>123</c:v>
                </c:pt>
                <c:pt idx="284">
                  <c:v>99</c:v>
                </c:pt>
                <c:pt idx="285">
                  <c:v>91</c:v>
                </c:pt>
                <c:pt idx="286">
                  <c:v>132</c:v>
                </c:pt>
                <c:pt idx="287">
                  <c:v>124</c:v>
                </c:pt>
                <c:pt idx="288">
                  <c:v>128</c:v>
                </c:pt>
                <c:pt idx="289">
                  <c:v>187</c:v>
                </c:pt>
                <c:pt idx="290">
                  <c:v>129</c:v>
                </c:pt>
                <c:pt idx="291">
                  <c:v>161</c:v>
                </c:pt>
                <c:pt idx="292">
                  <c:v>105</c:v>
                </c:pt>
                <c:pt idx="293">
                  <c:v>109</c:v>
                </c:pt>
                <c:pt idx="294">
                  <c:v>101</c:v>
                </c:pt>
                <c:pt idx="295">
                  <c:v>124</c:v>
                </c:pt>
                <c:pt idx="296">
                  <c:v>95</c:v>
                </c:pt>
                <c:pt idx="297">
                  <c:v>106</c:v>
                </c:pt>
                <c:pt idx="298">
                  <c:v>102</c:v>
                </c:pt>
                <c:pt idx="299">
                  <c:v>118</c:v>
                </c:pt>
                <c:pt idx="300">
                  <c:v>117</c:v>
                </c:pt>
                <c:pt idx="301">
                  <c:v>183</c:v>
                </c:pt>
                <c:pt idx="302">
                  <c:v>128</c:v>
                </c:pt>
                <c:pt idx="303">
                  <c:v>144</c:v>
                </c:pt>
                <c:pt idx="304">
                  <c:v>219</c:v>
                </c:pt>
                <c:pt idx="305">
                  <c:v>182</c:v>
                </c:pt>
                <c:pt idx="306">
                  <c:v>144</c:v>
                </c:pt>
                <c:pt idx="307">
                  <c:v>208</c:v>
                </c:pt>
                <c:pt idx="308">
                  <c:v>176</c:v>
                </c:pt>
                <c:pt idx="309">
                  <c:v>252</c:v>
                </c:pt>
                <c:pt idx="310">
                  <c:v>253</c:v>
                </c:pt>
                <c:pt idx="311">
                  <c:v>145</c:v>
                </c:pt>
                <c:pt idx="312">
                  <c:v>158</c:v>
                </c:pt>
                <c:pt idx="313">
                  <c:v>140</c:v>
                </c:pt>
                <c:pt idx="314">
                  <c:v>220</c:v>
                </c:pt>
                <c:pt idx="315">
                  <c:v>197</c:v>
                </c:pt>
                <c:pt idx="316">
                  <c:v>206</c:v>
                </c:pt>
                <c:pt idx="317">
                  <c:v>150</c:v>
                </c:pt>
                <c:pt idx="318">
                  <c:v>173</c:v>
                </c:pt>
                <c:pt idx="319">
                  <c:v>176</c:v>
                </c:pt>
                <c:pt idx="320">
                  <c:v>167</c:v>
                </c:pt>
                <c:pt idx="321">
                  <c:v>138</c:v>
                </c:pt>
                <c:pt idx="322">
                  <c:v>138</c:v>
                </c:pt>
                <c:pt idx="323">
                  <c:v>112</c:v>
                </c:pt>
                <c:pt idx="324">
                  <c:v>246</c:v>
                </c:pt>
                <c:pt idx="325">
                  <c:v>115</c:v>
                </c:pt>
                <c:pt idx="326">
                  <c:v>206</c:v>
                </c:pt>
                <c:pt idx="327">
                  <c:v>143</c:v>
                </c:pt>
                <c:pt idx="328">
                  <c:v>111</c:v>
                </c:pt>
                <c:pt idx="329">
                  <c:v>196</c:v>
                </c:pt>
                <c:pt idx="330">
                  <c:v>168</c:v>
                </c:pt>
                <c:pt idx="331">
                  <c:v>193</c:v>
                </c:pt>
                <c:pt idx="332">
                  <c:v>156</c:v>
                </c:pt>
                <c:pt idx="333">
                  <c:v>153</c:v>
                </c:pt>
                <c:pt idx="334">
                  <c:v>182</c:v>
                </c:pt>
                <c:pt idx="335">
                  <c:v>167</c:v>
                </c:pt>
                <c:pt idx="336">
                  <c:v>159</c:v>
                </c:pt>
                <c:pt idx="337">
                  <c:v>109</c:v>
                </c:pt>
                <c:pt idx="338">
                  <c:v>260</c:v>
                </c:pt>
                <c:pt idx="339">
                  <c:v>173</c:v>
                </c:pt>
                <c:pt idx="340">
                  <c:v>179</c:v>
                </c:pt>
                <c:pt idx="341">
                  <c:v>116</c:v>
                </c:pt>
                <c:pt idx="342">
                  <c:v>184</c:v>
                </c:pt>
                <c:pt idx="343">
                  <c:v>186</c:v>
                </c:pt>
                <c:pt idx="344">
                  <c:v>152</c:v>
                </c:pt>
                <c:pt idx="345">
                  <c:v>167</c:v>
                </c:pt>
                <c:pt idx="346">
                  <c:v>204</c:v>
                </c:pt>
                <c:pt idx="347">
                  <c:v>159</c:v>
                </c:pt>
                <c:pt idx="348">
                  <c:v>160</c:v>
                </c:pt>
                <c:pt idx="349">
                  <c:v>204</c:v>
                </c:pt>
                <c:pt idx="350">
                  <c:v>145</c:v>
                </c:pt>
                <c:pt idx="351">
                  <c:v>102</c:v>
                </c:pt>
                <c:pt idx="352">
                  <c:v>116</c:v>
                </c:pt>
                <c:pt idx="353">
                  <c:v>172</c:v>
                </c:pt>
                <c:pt idx="354">
                  <c:v>132</c:v>
                </c:pt>
                <c:pt idx="355">
                  <c:v>174</c:v>
                </c:pt>
                <c:pt idx="356">
                  <c:v>123</c:v>
                </c:pt>
                <c:pt idx="357">
                  <c:v>123</c:v>
                </c:pt>
                <c:pt idx="358">
                  <c:v>141</c:v>
                </c:pt>
                <c:pt idx="359">
                  <c:v>158</c:v>
                </c:pt>
                <c:pt idx="360">
                  <c:v>96</c:v>
                </c:pt>
                <c:pt idx="361">
                  <c:v>141</c:v>
                </c:pt>
                <c:pt idx="362">
                  <c:v>116</c:v>
                </c:pt>
                <c:pt idx="363">
                  <c:v>150</c:v>
                </c:pt>
                <c:pt idx="364">
                  <c:v>80</c:v>
                </c:pt>
                <c:pt idx="365">
                  <c:v>116</c:v>
                </c:pt>
                <c:pt idx="366">
                  <c:v>105</c:v>
                </c:pt>
                <c:pt idx="367">
                  <c:v>136</c:v>
                </c:pt>
                <c:pt idx="368">
                  <c:v>128</c:v>
                </c:pt>
                <c:pt idx="369">
                  <c:v>90</c:v>
                </c:pt>
                <c:pt idx="370">
                  <c:v>102</c:v>
                </c:pt>
                <c:pt idx="371">
                  <c:v>120</c:v>
                </c:pt>
                <c:pt idx="372">
                  <c:v>137</c:v>
                </c:pt>
                <c:pt idx="373">
                  <c:v>93</c:v>
                </c:pt>
                <c:pt idx="374">
                  <c:v>152</c:v>
                </c:pt>
                <c:pt idx="375">
                  <c:v>114</c:v>
                </c:pt>
                <c:pt idx="376">
                  <c:v>125</c:v>
                </c:pt>
                <c:pt idx="377">
                  <c:v>140</c:v>
                </c:pt>
                <c:pt idx="378">
                  <c:v>227</c:v>
                </c:pt>
                <c:pt idx="379">
                  <c:v>63</c:v>
                </c:pt>
                <c:pt idx="380">
                  <c:v>172</c:v>
                </c:pt>
                <c:pt idx="381">
                  <c:v>163</c:v>
                </c:pt>
                <c:pt idx="382">
                  <c:v>135</c:v>
                </c:pt>
                <c:pt idx="383">
                  <c:v>119</c:v>
                </c:pt>
                <c:pt idx="384">
                  <c:v>95</c:v>
                </c:pt>
                <c:pt idx="385">
                  <c:v>109</c:v>
                </c:pt>
                <c:pt idx="386">
                  <c:v>162</c:v>
                </c:pt>
                <c:pt idx="387">
                  <c:v>109</c:v>
                </c:pt>
                <c:pt idx="388">
                  <c:v>124</c:v>
                </c:pt>
                <c:pt idx="389">
                  <c:v>86</c:v>
                </c:pt>
                <c:pt idx="390">
                  <c:v>176</c:v>
                </c:pt>
                <c:pt idx="391">
                  <c:v>136</c:v>
                </c:pt>
                <c:pt idx="392">
                  <c:v>134</c:v>
                </c:pt>
                <c:pt idx="393">
                  <c:v>182</c:v>
                </c:pt>
                <c:pt idx="394">
                  <c:v>149</c:v>
                </c:pt>
                <c:pt idx="395">
                  <c:v>170</c:v>
                </c:pt>
                <c:pt idx="396">
                  <c:v>145</c:v>
                </c:pt>
                <c:pt idx="397">
                  <c:v>133</c:v>
                </c:pt>
                <c:pt idx="398">
                  <c:v>131</c:v>
                </c:pt>
                <c:pt idx="399">
                  <c:v>121</c:v>
                </c:pt>
                <c:pt idx="400">
                  <c:v>126</c:v>
                </c:pt>
                <c:pt idx="401">
                  <c:v>123</c:v>
                </c:pt>
                <c:pt idx="402">
                  <c:v>144</c:v>
                </c:pt>
                <c:pt idx="403">
                  <c:v>131</c:v>
                </c:pt>
                <c:pt idx="404">
                  <c:v>93</c:v>
                </c:pt>
                <c:pt idx="405">
                  <c:v>184</c:v>
                </c:pt>
                <c:pt idx="406">
                  <c:v>81</c:v>
                </c:pt>
                <c:pt idx="407">
                  <c:v>98</c:v>
                </c:pt>
                <c:pt idx="408">
                  <c:v>113</c:v>
                </c:pt>
                <c:pt idx="409">
                  <c:v>159</c:v>
                </c:pt>
                <c:pt idx="410">
                  <c:v>116</c:v>
                </c:pt>
                <c:pt idx="411">
                  <c:v>93</c:v>
                </c:pt>
                <c:pt idx="412">
                  <c:v>124</c:v>
                </c:pt>
                <c:pt idx="413">
                  <c:v>92</c:v>
                </c:pt>
                <c:pt idx="414">
                  <c:v>186</c:v>
                </c:pt>
                <c:pt idx="415">
                  <c:v>154</c:v>
                </c:pt>
                <c:pt idx="416">
                  <c:v>91</c:v>
                </c:pt>
                <c:pt idx="417">
                  <c:v>81</c:v>
                </c:pt>
                <c:pt idx="418">
                  <c:v>209</c:v>
                </c:pt>
                <c:pt idx="419">
                  <c:v>184</c:v>
                </c:pt>
                <c:pt idx="420">
                  <c:v>107</c:v>
                </c:pt>
                <c:pt idx="421">
                  <c:v>101</c:v>
                </c:pt>
                <c:pt idx="422">
                  <c:v>99</c:v>
                </c:pt>
                <c:pt idx="423">
                  <c:v>167</c:v>
                </c:pt>
                <c:pt idx="424">
                  <c:v>115</c:v>
                </c:pt>
                <c:pt idx="425">
                  <c:v>84</c:v>
                </c:pt>
                <c:pt idx="426">
                  <c:v>130</c:v>
                </c:pt>
                <c:pt idx="427">
                  <c:v>88</c:v>
                </c:pt>
                <c:pt idx="428">
                  <c:v>113</c:v>
                </c:pt>
                <c:pt idx="429">
                  <c:v>174</c:v>
                </c:pt>
                <c:pt idx="430">
                  <c:v>104</c:v>
                </c:pt>
                <c:pt idx="431">
                  <c:v>147</c:v>
                </c:pt>
                <c:pt idx="432">
                  <c:v>108</c:v>
                </c:pt>
                <c:pt idx="433">
                  <c:v>180</c:v>
                </c:pt>
                <c:pt idx="434">
                  <c:v>134</c:v>
                </c:pt>
                <c:pt idx="435">
                  <c:v>202</c:v>
                </c:pt>
                <c:pt idx="436">
                  <c:v>110</c:v>
                </c:pt>
                <c:pt idx="437">
                  <c:v>166</c:v>
                </c:pt>
                <c:pt idx="438">
                  <c:v>136</c:v>
                </c:pt>
                <c:pt idx="439">
                  <c:v>87</c:v>
                </c:pt>
                <c:pt idx="440">
                  <c:v>84</c:v>
                </c:pt>
                <c:pt idx="441">
                  <c:v>167</c:v>
                </c:pt>
                <c:pt idx="442">
                  <c:v>109</c:v>
                </c:pt>
                <c:pt idx="443">
                  <c:v>156</c:v>
                </c:pt>
                <c:pt idx="444">
                  <c:v>125</c:v>
                </c:pt>
                <c:pt idx="445">
                  <c:v>118</c:v>
                </c:pt>
                <c:pt idx="446">
                  <c:v>142</c:v>
                </c:pt>
                <c:pt idx="447">
                  <c:v>148</c:v>
                </c:pt>
                <c:pt idx="448">
                  <c:v>119</c:v>
                </c:pt>
                <c:pt idx="449">
                  <c:v>105</c:v>
                </c:pt>
                <c:pt idx="450">
                  <c:v>143</c:v>
                </c:pt>
                <c:pt idx="451">
                  <c:v>119</c:v>
                </c:pt>
                <c:pt idx="452">
                  <c:v>155</c:v>
                </c:pt>
                <c:pt idx="453">
                  <c:v>109</c:v>
                </c:pt>
                <c:pt idx="454">
                  <c:v>191</c:v>
                </c:pt>
                <c:pt idx="455">
                  <c:v>170</c:v>
                </c:pt>
                <c:pt idx="456">
                  <c:v>152</c:v>
                </c:pt>
                <c:pt idx="457">
                  <c:v>239</c:v>
                </c:pt>
                <c:pt idx="458">
                  <c:v>113</c:v>
                </c:pt>
                <c:pt idx="459">
                  <c:v>196</c:v>
                </c:pt>
                <c:pt idx="460">
                  <c:v>236</c:v>
                </c:pt>
                <c:pt idx="461">
                  <c:v>81</c:v>
                </c:pt>
                <c:pt idx="462">
                  <c:v>118</c:v>
                </c:pt>
                <c:pt idx="463">
                  <c:v>218</c:v>
                </c:pt>
                <c:pt idx="464">
                  <c:v>132</c:v>
                </c:pt>
                <c:pt idx="465">
                  <c:v>224</c:v>
                </c:pt>
                <c:pt idx="466">
                  <c:v>167</c:v>
                </c:pt>
                <c:pt idx="467">
                  <c:v>209</c:v>
                </c:pt>
                <c:pt idx="468">
                  <c:v>153</c:v>
                </c:pt>
                <c:pt idx="469">
                  <c:v>180</c:v>
                </c:pt>
                <c:pt idx="470">
                  <c:v>133</c:v>
                </c:pt>
                <c:pt idx="471">
                  <c:v>187</c:v>
                </c:pt>
                <c:pt idx="472">
                  <c:v>168</c:v>
                </c:pt>
                <c:pt idx="473">
                  <c:v>269</c:v>
                </c:pt>
                <c:pt idx="474">
                  <c:v>100</c:v>
                </c:pt>
                <c:pt idx="475">
                  <c:v>205</c:v>
                </c:pt>
                <c:pt idx="476">
                  <c:v>161</c:v>
                </c:pt>
                <c:pt idx="477">
                  <c:v>57</c:v>
                </c:pt>
                <c:pt idx="478">
                  <c:v>80</c:v>
                </c:pt>
                <c:pt idx="479">
                  <c:v>107</c:v>
                </c:pt>
                <c:pt idx="480">
                  <c:v>99</c:v>
                </c:pt>
                <c:pt idx="481">
                  <c:v>25</c:v>
                </c:pt>
                <c:pt idx="482">
                  <c:v>35</c:v>
                </c:pt>
                <c:pt idx="483">
                  <c:v>43</c:v>
                </c:pt>
                <c:pt idx="484">
                  <c:v>41</c:v>
                </c:pt>
                <c:pt idx="485">
                  <c:v>65</c:v>
                </c:pt>
                <c:pt idx="486">
                  <c:v>38</c:v>
                </c:pt>
                <c:pt idx="487">
                  <c:v>56</c:v>
                </c:pt>
                <c:pt idx="488">
                  <c:v>74</c:v>
                </c:pt>
                <c:pt idx="489">
                  <c:v>68</c:v>
                </c:pt>
                <c:pt idx="490">
                  <c:v>92</c:v>
                </c:pt>
                <c:pt idx="491">
                  <c:v>113</c:v>
                </c:pt>
                <c:pt idx="492">
                  <c:v>106</c:v>
                </c:pt>
                <c:pt idx="493">
                  <c:v>86</c:v>
                </c:pt>
                <c:pt idx="494">
                  <c:v>84</c:v>
                </c:pt>
                <c:pt idx="495">
                  <c:v>59</c:v>
                </c:pt>
                <c:pt idx="496">
                  <c:v>62</c:v>
                </c:pt>
                <c:pt idx="497">
                  <c:v>91</c:v>
                </c:pt>
                <c:pt idx="498">
                  <c:v>29</c:v>
                </c:pt>
                <c:pt idx="499">
                  <c:v>33</c:v>
                </c:pt>
                <c:pt idx="500">
                  <c:v>32</c:v>
                </c:pt>
                <c:pt idx="501">
                  <c:v>32</c:v>
                </c:pt>
                <c:pt idx="502">
                  <c:v>47</c:v>
                </c:pt>
                <c:pt idx="503">
                  <c:v>20</c:v>
                </c:pt>
                <c:pt idx="504">
                  <c:v>23</c:v>
                </c:pt>
                <c:pt idx="505">
                  <c:v>34</c:v>
                </c:pt>
                <c:pt idx="506">
                  <c:v>26</c:v>
                </c:pt>
                <c:pt idx="507">
                  <c:v>25</c:v>
                </c:pt>
                <c:pt idx="508">
                  <c:v>15</c:v>
                </c:pt>
                <c:pt idx="509">
                  <c:v>16</c:v>
                </c:pt>
                <c:pt idx="510">
                  <c:v>11</c:v>
                </c:pt>
                <c:pt idx="511">
                  <c:v>16</c:v>
                </c:pt>
                <c:pt idx="512">
                  <c:v>15</c:v>
                </c:pt>
                <c:pt idx="513">
                  <c:v>8</c:v>
                </c:pt>
                <c:pt idx="514">
                  <c:v>18</c:v>
                </c:pt>
                <c:pt idx="515">
                  <c:v>12</c:v>
                </c:pt>
                <c:pt idx="516">
                  <c:v>13</c:v>
                </c:pt>
                <c:pt idx="517">
                  <c:v>7</c:v>
                </c:pt>
                <c:pt idx="518">
                  <c:v>20</c:v>
                </c:pt>
                <c:pt idx="519">
                  <c:v>11</c:v>
                </c:pt>
                <c:pt idx="520">
                  <c:v>12</c:v>
                </c:pt>
                <c:pt idx="521">
                  <c:v>10</c:v>
                </c:pt>
                <c:pt idx="522">
                  <c:v>12</c:v>
                </c:pt>
                <c:pt idx="523">
                  <c:v>8</c:v>
                </c:pt>
                <c:pt idx="524">
                  <c:v>4</c:v>
                </c:pt>
                <c:pt idx="525">
                  <c:v>5</c:v>
                </c:pt>
                <c:pt idx="526">
                  <c:v>7</c:v>
                </c:pt>
                <c:pt idx="527">
                  <c:v>12</c:v>
                </c:pt>
                <c:pt idx="528">
                  <c:v>6</c:v>
                </c:pt>
                <c:pt idx="529">
                  <c:v>3</c:v>
                </c:pt>
                <c:pt idx="530">
                  <c:v>6</c:v>
                </c:pt>
                <c:pt idx="531">
                  <c:v>4</c:v>
                </c:pt>
                <c:pt idx="532">
                  <c:v>1</c:v>
                </c:pt>
                <c:pt idx="533">
                  <c:v>5</c:v>
                </c:pt>
                <c:pt idx="534">
                  <c:v>19</c:v>
                </c:pt>
                <c:pt idx="535">
                  <c:v>6</c:v>
                </c:pt>
                <c:pt idx="536">
                  <c:v>9</c:v>
                </c:pt>
                <c:pt idx="537">
                  <c:v>15</c:v>
                </c:pt>
                <c:pt idx="538">
                  <c:v>7</c:v>
                </c:pt>
                <c:pt idx="539">
                  <c:v>12</c:v>
                </c:pt>
                <c:pt idx="540">
                  <c:v>9</c:v>
                </c:pt>
                <c:pt idx="541">
                  <c:v>1</c:v>
                </c:pt>
                <c:pt idx="542">
                  <c:v>9</c:v>
                </c:pt>
                <c:pt idx="543">
                  <c:v>9</c:v>
                </c:pt>
                <c:pt idx="544">
                  <c:v>17</c:v>
                </c:pt>
                <c:pt idx="545">
                  <c:v>5</c:v>
                </c:pt>
                <c:pt idx="546">
                  <c:v>12</c:v>
                </c:pt>
                <c:pt idx="547">
                  <c:v>7</c:v>
                </c:pt>
                <c:pt idx="548">
                  <c:v>12</c:v>
                </c:pt>
                <c:pt idx="549">
                  <c:v>12</c:v>
                </c:pt>
                <c:pt idx="550">
                  <c:v>6</c:v>
                </c:pt>
                <c:pt idx="551">
                  <c:v>18</c:v>
                </c:pt>
                <c:pt idx="552">
                  <c:v>8</c:v>
                </c:pt>
                <c:pt idx="553">
                  <c:v>5</c:v>
                </c:pt>
                <c:pt idx="554">
                  <c:v>5</c:v>
                </c:pt>
                <c:pt idx="555">
                  <c:v>4</c:v>
                </c:pt>
                <c:pt idx="556">
                  <c:v>11</c:v>
                </c:pt>
                <c:pt idx="557">
                  <c:v>7</c:v>
                </c:pt>
                <c:pt idx="558">
                  <c:v>4</c:v>
                </c:pt>
                <c:pt idx="559">
                  <c:v>10</c:v>
                </c:pt>
                <c:pt idx="560">
                  <c:v>7</c:v>
                </c:pt>
                <c:pt idx="561">
                  <c:v>3</c:v>
                </c:pt>
                <c:pt idx="562">
                  <c:v>3</c:v>
                </c:pt>
                <c:pt idx="563">
                  <c:v>9</c:v>
                </c:pt>
                <c:pt idx="564">
                  <c:v>6</c:v>
                </c:pt>
                <c:pt idx="565">
                  <c:v>11</c:v>
                </c:pt>
                <c:pt idx="566">
                  <c:v>7</c:v>
                </c:pt>
                <c:pt idx="567">
                  <c:v>13</c:v>
                </c:pt>
                <c:pt idx="568">
                  <c:v>9</c:v>
                </c:pt>
                <c:pt idx="569">
                  <c:v>15</c:v>
                </c:pt>
                <c:pt idx="570">
                  <c:v>10</c:v>
                </c:pt>
                <c:pt idx="571">
                  <c:v>10</c:v>
                </c:pt>
                <c:pt idx="572">
                  <c:v>15</c:v>
                </c:pt>
                <c:pt idx="573">
                  <c:v>15</c:v>
                </c:pt>
                <c:pt idx="574">
                  <c:v>7</c:v>
                </c:pt>
                <c:pt idx="575">
                  <c:v>18</c:v>
                </c:pt>
                <c:pt idx="576">
                  <c:v>7</c:v>
                </c:pt>
                <c:pt idx="577">
                  <c:v>15</c:v>
                </c:pt>
                <c:pt idx="578">
                  <c:v>13</c:v>
                </c:pt>
                <c:pt idx="579">
                  <c:v>7</c:v>
                </c:pt>
                <c:pt idx="580">
                  <c:v>14</c:v>
                </c:pt>
                <c:pt idx="581">
                  <c:v>18</c:v>
                </c:pt>
                <c:pt idx="582">
                  <c:v>6</c:v>
                </c:pt>
                <c:pt idx="583">
                  <c:v>12</c:v>
                </c:pt>
                <c:pt idx="584">
                  <c:v>13</c:v>
                </c:pt>
                <c:pt idx="585">
                  <c:v>8</c:v>
                </c:pt>
                <c:pt idx="586">
                  <c:v>10</c:v>
                </c:pt>
                <c:pt idx="587">
                  <c:v>5</c:v>
                </c:pt>
                <c:pt idx="588">
                  <c:v>4</c:v>
                </c:pt>
                <c:pt idx="589">
                  <c:v>8</c:v>
                </c:pt>
                <c:pt idx="590">
                  <c:v>10</c:v>
                </c:pt>
                <c:pt idx="591">
                  <c:v>8</c:v>
                </c:pt>
                <c:pt idx="592">
                  <c:v>17</c:v>
                </c:pt>
                <c:pt idx="593">
                  <c:v>7</c:v>
                </c:pt>
                <c:pt idx="594">
                  <c:v>8</c:v>
                </c:pt>
                <c:pt idx="595">
                  <c:v>7</c:v>
                </c:pt>
                <c:pt idx="596">
                  <c:v>3</c:v>
                </c:pt>
                <c:pt idx="597">
                  <c:v>5</c:v>
                </c:pt>
                <c:pt idx="598">
                  <c:v>6</c:v>
                </c:pt>
                <c:pt idx="599">
                  <c:v>3</c:v>
                </c:pt>
                <c:pt idx="600">
                  <c:v>5</c:v>
                </c:pt>
                <c:pt idx="601">
                  <c:v>9</c:v>
                </c:pt>
                <c:pt idx="602">
                  <c:v>7</c:v>
                </c:pt>
                <c:pt idx="603">
                  <c:v>8</c:v>
                </c:pt>
                <c:pt idx="604">
                  <c:v>4</c:v>
                </c:pt>
                <c:pt idx="605">
                  <c:v>3</c:v>
                </c:pt>
                <c:pt idx="606">
                  <c:v>5</c:v>
                </c:pt>
                <c:pt idx="607">
                  <c:v>2</c:v>
                </c:pt>
                <c:pt idx="608">
                  <c:v>2</c:v>
                </c:pt>
                <c:pt idx="609">
                  <c:v>1</c:v>
                </c:pt>
                <c:pt idx="610">
                  <c:v>2</c:v>
                </c:pt>
                <c:pt idx="611">
                  <c:v>0</c:v>
                </c:pt>
                <c:pt idx="612">
                  <c:v>1</c:v>
                </c:pt>
                <c:pt idx="613">
                  <c:v>3</c:v>
                </c:pt>
                <c:pt idx="614">
                  <c:v>4</c:v>
                </c:pt>
                <c:pt idx="615">
                  <c:v>5</c:v>
                </c:pt>
                <c:pt idx="616">
                  <c:v>6</c:v>
                </c:pt>
                <c:pt idx="617">
                  <c:v>6</c:v>
                </c:pt>
                <c:pt idx="618">
                  <c:v>1</c:v>
                </c:pt>
                <c:pt idx="619">
                  <c:v>2</c:v>
                </c:pt>
                <c:pt idx="620">
                  <c:v>2</c:v>
                </c:pt>
                <c:pt idx="621">
                  <c:v>4</c:v>
                </c:pt>
                <c:pt idx="622">
                  <c:v>2</c:v>
                </c:pt>
                <c:pt idx="623">
                  <c:v>5</c:v>
                </c:pt>
                <c:pt idx="624">
                  <c:v>5</c:v>
                </c:pt>
                <c:pt idx="625">
                  <c:v>2</c:v>
                </c:pt>
                <c:pt idx="626">
                  <c:v>4</c:v>
                </c:pt>
                <c:pt idx="627">
                  <c:v>4</c:v>
                </c:pt>
                <c:pt idx="628">
                  <c:v>0</c:v>
                </c:pt>
                <c:pt idx="629">
                  <c:v>6</c:v>
                </c:pt>
                <c:pt idx="630">
                  <c:v>8</c:v>
                </c:pt>
                <c:pt idx="631">
                  <c:v>6</c:v>
                </c:pt>
                <c:pt idx="632">
                  <c:v>3</c:v>
                </c:pt>
                <c:pt idx="633">
                  <c:v>4</c:v>
                </c:pt>
                <c:pt idx="634">
                  <c:v>4</c:v>
                </c:pt>
                <c:pt idx="635">
                  <c:v>5</c:v>
                </c:pt>
                <c:pt idx="636">
                  <c:v>10</c:v>
                </c:pt>
                <c:pt idx="637">
                  <c:v>6</c:v>
                </c:pt>
                <c:pt idx="638">
                  <c:v>4</c:v>
                </c:pt>
                <c:pt idx="639">
                  <c:v>8</c:v>
                </c:pt>
                <c:pt idx="640">
                  <c:v>10</c:v>
                </c:pt>
                <c:pt idx="641">
                  <c:v>5</c:v>
                </c:pt>
                <c:pt idx="642">
                  <c:v>8</c:v>
                </c:pt>
                <c:pt idx="643">
                  <c:v>10</c:v>
                </c:pt>
                <c:pt idx="644">
                  <c:v>6</c:v>
                </c:pt>
                <c:pt idx="645">
                  <c:v>4</c:v>
                </c:pt>
                <c:pt idx="646">
                  <c:v>11</c:v>
                </c:pt>
                <c:pt idx="647">
                  <c:v>4</c:v>
                </c:pt>
                <c:pt idx="648">
                  <c:v>7</c:v>
                </c:pt>
                <c:pt idx="649">
                  <c:v>18</c:v>
                </c:pt>
                <c:pt idx="650">
                  <c:v>10</c:v>
                </c:pt>
                <c:pt idx="651">
                  <c:v>12</c:v>
                </c:pt>
                <c:pt idx="652">
                  <c:v>7</c:v>
                </c:pt>
                <c:pt idx="653">
                  <c:v>9</c:v>
                </c:pt>
                <c:pt idx="654">
                  <c:v>7</c:v>
                </c:pt>
                <c:pt idx="655">
                  <c:v>7</c:v>
                </c:pt>
                <c:pt idx="656">
                  <c:v>20</c:v>
                </c:pt>
                <c:pt idx="657">
                  <c:v>8</c:v>
                </c:pt>
                <c:pt idx="658">
                  <c:v>17</c:v>
                </c:pt>
                <c:pt idx="659">
                  <c:v>11</c:v>
                </c:pt>
                <c:pt idx="660">
                  <c:v>3</c:v>
                </c:pt>
                <c:pt idx="661">
                  <c:v>6</c:v>
                </c:pt>
                <c:pt idx="662">
                  <c:v>11</c:v>
                </c:pt>
                <c:pt idx="663">
                  <c:v>8</c:v>
                </c:pt>
                <c:pt idx="664">
                  <c:v>8</c:v>
                </c:pt>
                <c:pt idx="665">
                  <c:v>4</c:v>
                </c:pt>
                <c:pt idx="666">
                  <c:v>20</c:v>
                </c:pt>
                <c:pt idx="667">
                  <c:v>8</c:v>
                </c:pt>
                <c:pt idx="668">
                  <c:v>5</c:v>
                </c:pt>
                <c:pt idx="669">
                  <c:v>11</c:v>
                </c:pt>
                <c:pt idx="670">
                  <c:v>8</c:v>
                </c:pt>
                <c:pt idx="671">
                  <c:v>11</c:v>
                </c:pt>
                <c:pt idx="672">
                  <c:v>8</c:v>
                </c:pt>
                <c:pt idx="673">
                  <c:v>7</c:v>
                </c:pt>
                <c:pt idx="674">
                  <c:v>8</c:v>
                </c:pt>
                <c:pt idx="675">
                  <c:v>9</c:v>
                </c:pt>
                <c:pt idx="676">
                  <c:v>9</c:v>
                </c:pt>
                <c:pt idx="677">
                  <c:v>10</c:v>
                </c:pt>
                <c:pt idx="678">
                  <c:v>13</c:v>
                </c:pt>
                <c:pt idx="679">
                  <c:v>12</c:v>
                </c:pt>
                <c:pt idx="680">
                  <c:v>4</c:v>
                </c:pt>
                <c:pt idx="681">
                  <c:v>4</c:v>
                </c:pt>
                <c:pt idx="682">
                  <c:v>2</c:v>
                </c:pt>
                <c:pt idx="683">
                  <c:v>6</c:v>
                </c:pt>
                <c:pt idx="684">
                  <c:v>6</c:v>
                </c:pt>
                <c:pt idx="685">
                  <c:v>3</c:v>
                </c:pt>
                <c:pt idx="686">
                  <c:v>5</c:v>
                </c:pt>
                <c:pt idx="687">
                  <c:v>3</c:v>
                </c:pt>
                <c:pt idx="688">
                  <c:v>6</c:v>
                </c:pt>
                <c:pt idx="689">
                  <c:v>8</c:v>
                </c:pt>
                <c:pt idx="690">
                  <c:v>6</c:v>
                </c:pt>
                <c:pt idx="691">
                  <c:v>11</c:v>
                </c:pt>
                <c:pt idx="692">
                  <c:v>11</c:v>
                </c:pt>
                <c:pt idx="693">
                  <c:v>14</c:v>
                </c:pt>
                <c:pt idx="694">
                  <c:v>6</c:v>
                </c:pt>
                <c:pt idx="695">
                  <c:v>5</c:v>
                </c:pt>
                <c:pt idx="696">
                  <c:v>1</c:v>
                </c:pt>
                <c:pt idx="697">
                  <c:v>2</c:v>
                </c:pt>
                <c:pt idx="698">
                  <c:v>7</c:v>
                </c:pt>
                <c:pt idx="699">
                  <c:v>18</c:v>
                </c:pt>
                <c:pt idx="700">
                  <c:v>3</c:v>
                </c:pt>
                <c:pt idx="701">
                  <c:v>9</c:v>
                </c:pt>
                <c:pt idx="702">
                  <c:v>6</c:v>
                </c:pt>
                <c:pt idx="703">
                  <c:v>4</c:v>
                </c:pt>
                <c:pt idx="704">
                  <c:v>4</c:v>
                </c:pt>
                <c:pt idx="705">
                  <c:v>4</c:v>
                </c:pt>
                <c:pt idx="706">
                  <c:v>7</c:v>
                </c:pt>
                <c:pt idx="707">
                  <c:v>4</c:v>
                </c:pt>
                <c:pt idx="708">
                  <c:v>16</c:v>
                </c:pt>
                <c:pt idx="709">
                  <c:v>4</c:v>
                </c:pt>
                <c:pt idx="710">
                  <c:v>9</c:v>
                </c:pt>
                <c:pt idx="711">
                  <c:v>4</c:v>
                </c:pt>
                <c:pt idx="712">
                  <c:v>10</c:v>
                </c:pt>
                <c:pt idx="713">
                  <c:v>7</c:v>
                </c:pt>
                <c:pt idx="714">
                  <c:v>8</c:v>
                </c:pt>
                <c:pt idx="715">
                  <c:v>11</c:v>
                </c:pt>
                <c:pt idx="716">
                  <c:v>8</c:v>
                </c:pt>
                <c:pt idx="717">
                  <c:v>7</c:v>
                </c:pt>
                <c:pt idx="718">
                  <c:v>11</c:v>
                </c:pt>
                <c:pt idx="719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22-4215-8548-FF092A569C16}"/>
            </c:ext>
          </c:extLst>
        </c:ser>
        <c:ser>
          <c:idx val="1"/>
          <c:order val="1"/>
          <c:tx>
            <c:strRef>
              <c:f>Clean_Data!$D$1</c:f>
              <c:strCache>
                <c:ptCount val="1"/>
                <c:pt idx="0">
                  <c:v>Transfers_Out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Clean_Data!$A$2:$A$721</c:f>
              <c:numCache>
                <c:formatCode>m/d/yyyy</c:formatCode>
                <c:ptCount val="720"/>
                <c:pt idx="0">
                  <c:v>44938</c:v>
                </c:pt>
                <c:pt idx="1">
                  <c:v>44948</c:v>
                </c:pt>
                <c:pt idx="2">
                  <c:v>44949</c:v>
                </c:pt>
                <c:pt idx="3">
                  <c:v>44950</c:v>
                </c:pt>
                <c:pt idx="4">
                  <c:v>44951</c:v>
                </c:pt>
                <c:pt idx="5">
                  <c:v>44955</c:v>
                </c:pt>
                <c:pt idx="6">
                  <c:v>44956</c:v>
                </c:pt>
                <c:pt idx="7">
                  <c:v>44957</c:v>
                </c:pt>
                <c:pt idx="8">
                  <c:v>44958</c:v>
                </c:pt>
                <c:pt idx="9">
                  <c:v>44959</c:v>
                </c:pt>
                <c:pt idx="10">
                  <c:v>44962</c:v>
                </c:pt>
                <c:pt idx="11">
                  <c:v>44963</c:v>
                </c:pt>
                <c:pt idx="12">
                  <c:v>44964</c:v>
                </c:pt>
                <c:pt idx="13">
                  <c:v>44965</c:v>
                </c:pt>
                <c:pt idx="14">
                  <c:v>44966</c:v>
                </c:pt>
                <c:pt idx="15">
                  <c:v>44969</c:v>
                </c:pt>
                <c:pt idx="16">
                  <c:v>44970</c:v>
                </c:pt>
                <c:pt idx="17">
                  <c:v>44971</c:v>
                </c:pt>
                <c:pt idx="18">
                  <c:v>44972</c:v>
                </c:pt>
                <c:pt idx="19">
                  <c:v>44973</c:v>
                </c:pt>
                <c:pt idx="20">
                  <c:v>44977</c:v>
                </c:pt>
                <c:pt idx="21">
                  <c:v>44978</c:v>
                </c:pt>
                <c:pt idx="22">
                  <c:v>44979</c:v>
                </c:pt>
                <c:pt idx="23">
                  <c:v>44980</c:v>
                </c:pt>
                <c:pt idx="24">
                  <c:v>44983</c:v>
                </c:pt>
                <c:pt idx="25">
                  <c:v>44984</c:v>
                </c:pt>
                <c:pt idx="26">
                  <c:v>44985</c:v>
                </c:pt>
                <c:pt idx="27">
                  <c:v>44986</c:v>
                </c:pt>
                <c:pt idx="28">
                  <c:v>44987</c:v>
                </c:pt>
                <c:pt idx="29">
                  <c:v>44992</c:v>
                </c:pt>
                <c:pt idx="30">
                  <c:v>44993</c:v>
                </c:pt>
                <c:pt idx="31">
                  <c:v>44994</c:v>
                </c:pt>
                <c:pt idx="32">
                  <c:v>44998</c:v>
                </c:pt>
                <c:pt idx="33">
                  <c:v>44999</c:v>
                </c:pt>
                <c:pt idx="34">
                  <c:v>45000</c:v>
                </c:pt>
                <c:pt idx="35">
                  <c:v>45001</c:v>
                </c:pt>
                <c:pt idx="36">
                  <c:v>45004</c:v>
                </c:pt>
                <c:pt idx="37">
                  <c:v>45005</c:v>
                </c:pt>
                <c:pt idx="38">
                  <c:v>45006</c:v>
                </c:pt>
                <c:pt idx="39">
                  <c:v>45007</c:v>
                </c:pt>
                <c:pt idx="40">
                  <c:v>45008</c:v>
                </c:pt>
                <c:pt idx="41">
                  <c:v>45011</c:v>
                </c:pt>
                <c:pt idx="42">
                  <c:v>45012</c:v>
                </c:pt>
                <c:pt idx="43">
                  <c:v>45013</c:v>
                </c:pt>
                <c:pt idx="44">
                  <c:v>45014</c:v>
                </c:pt>
                <c:pt idx="45">
                  <c:v>45015</c:v>
                </c:pt>
                <c:pt idx="46">
                  <c:v>45018</c:v>
                </c:pt>
                <c:pt idx="47">
                  <c:v>45019</c:v>
                </c:pt>
                <c:pt idx="48">
                  <c:v>45020</c:v>
                </c:pt>
                <c:pt idx="49">
                  <c:v>45021</c:v>
                </c:pt>
                <c:pt idx="50">
                  <c:v>45022</c:v>
                </c:pt>
                <c:pt idx="51">
                  <c:v>45025</c:v>
                </c:pt>
                <c:pt idx="52">
                  <c:v>45026</c:v>
                </c:pt>
                <c:pt idx="53">
                  <c:v>45027</c:v>
                </c:pt>
                <c:pt idx="54">
                  <c:v>45028</c:v>
                </c:pt>
                <c:pt idx="55">
                  <c:v>45029</c:v>
                </c:pt>
                <c:pt idx="56">
                  <c:v>45032</c:v>
                </c:pt>
                <c:pt idx="57">
                  <c:v>45033</c:v>
                </c:pt>
                <c:pt idx="58">
                  <c:v>45034</c:v>
                </c:pt>
                <c:pt idx="59">
                  <c:v>45035</c:v>
                </c:pt>
                <c:pt idx="60">
                  <c:v>45036</c:v>
                </c:pt>
                <c:pt idx="61">
                  <c:v>45039</c:v>
                </c:pt>
                <c:pt idx="62">
                  <c:v>45040</c:v>
                </c:pt>
                <c:pt idx="63">
                  <c:v>45041</c:v>
                </c:pt>
                <c:pt idx="64">
                  <c:v>45042</c:v>
                </c:pt>
                <c:pt idx="65">
                  <c:v>45043</c:v>
                </c:pt>
                <c:pt idx="66">
                  <c:v>45046</c:v>
                </c:pt>
                <c:pt idx="67">
                  <c:v>45047</c:v>
                </c:pt>
                <c:pt idx="68">
                  <c:v>45048</c:v>
                </c:pt>
                <c:pt idx="69">
                  <c:v>45049</c:v>
                </c:pt>
                <c:pt idx="70">
                  <c:v>45050</c:v>
                </c:pt>
                <c:pt idx="71">
                  <c:v>45053</c:v>
                </c:pt>
                <c:pt idx="72">
                  <c:v>45054</c:v>
                </c:pt>
                <c:pt idx="73">
                  <c:v>45055</c:v>
                </c:pt>
                <c:pt idx="74">
                  <c:v>45056</c:v>
                </c:pt>
                <c:pt idx="75">
                  <c:v>45057</c:v>
                </c:pt>
                <c:pt idx="76">
                  <c:v>45060</c:v>
                </c:pt>
                <c:pt idx="77">
                  <c:v>45061</c:v>
                </c:pt>
                <c:pt idx="78">
                  <c:v>45062</c:v>
                </c:pt>
                <c:pt idx="79">
                  <c:v>45063</c:v>
                </c:pt>
                <c:pt idx="80">
                  <c:v>45064</c:v>
                </c:pt>
                <c:pt idx="81">
                  <c:v>45067</c:v>
                </c:pt>
                <c:pt idx="82">
                  <c:v>45068</c:v>
                </c:pt>
                <c:pt idx="83">
                  <c:v>45069</c:v>
                </c:pt>
                <c:pt idx="84">
                  <c:v>45070</c:v>
                </c:pt>
                <c:pt idx="85">
                  <c:v>45071</c:v>
                </c:pt>
                <c:pt idx="86">
                  <c:v>45075</c:v>
                </c:pt>
                <c:pt idx="87">
                  <c:v>45076</c:v>
                </c:pt>
                <c:pt idx="88">
                  <c:v>45077</c:v>
                </c:pt>
                <c:pt idx="89">
                  <c:v>45078</c:v>
                </c:pt>
                <c:pt idx="90">
                  <c:v>45081</c:v>
                </c:pt>
                <c:pt idx="91">
                  <c:v>45082</c:v>
                </c:pt>
                <c:pt idx="92">
                  <c:v>45083</c:v>
                </c:pt>
                <c:pt idx="93">
                  <c:v>45084</c:v>
                </c:pt>
                <c:pt idx="94">
                  <c:v>45085</c:v>
                </c:pt>
                <c:pt idx="95">
                  <c:v>45088</c:v>
                </c:pt>
                <c:pt idx="96">
                  <c:v>45089</c:v>
                </c:pt>
                <c:pt idx="97">
                  <c:v>45090</c:v>
                </c:pt>
                <c:pt idx="98">
                  <c:v>45091</c:v>
                </c:pt>
                <c:pt idx="99">
                  <c:v>45092</c:v>
                </c:pt>
                <c:pt idx="100">
                  <c:v>45096</c:v>
                </c:pt>
                <c:pt idx="101">
                  <c:v>45097</c:v>
                </c:pt>
                <c:pt idx="102">
                  <c:v>45098</c:v>
                </c:pt>
                <c:pt idx="103">
                  <c:v>45099</c:v>
                </c:pt>
                <c:pt idx="104">
                  <c:v>45102</c:v>
                </c:pt>
                <c:pt idx="105">
                  <c:v>45103</c:v>
                </c:pt>
                <c:pt idx="106">
                  <c:v>45104</c:v>
                </c:pt>
                <c:pt idx="107">
                  <c:v>45105</c:v>
                </c:pt>
                <c:pt idx="108">
                  <c:v>45106</c:v>
                </c:pt>
                <c:pt idx="109">
                  <c:v>45109</c:v>
                </c:pt>
                <c:pt idx="110">
                  <c:v>45111</c:v>
                </c:pt>
                <c:pt idx="111">
                  <c:v>45112</c:v>
                </c:pt>
                <c:pt idx="112">
                  <c:v>45113</c:v>
                </c:pt>
                <c:pt idx="113">
                  <c:v>45116</c:v>
                </c:pt>
                <c:pt idx="114">
                  <c:v>45117</c:v>
                </c:pt>
                <c:pt idx="115">
                  <c:v>45118</c:v>
                </c:pt>
                <c:pt idx="116">
                  <c:v>45119</c:v>
                </c:pt>
                <c:pt idx="117">
                  <c:v>45120</c:v>
                </c:pt>
                <c:pt idx="118">
                  <c:v>45123</c:v>
                </c:pt>
                <c:pt idx="119">
                  <c:v>45124</c:v>
                </c:pt>
                <c:pt idx="120">
                  <c:v>45125</c:v>
                </c:pt>
                <c:pt idx="121">
                  <c:v>45126</c:v>
                </c:pt>
                <c:pt idx="122">
                  <c:v>45127</c:v>
                </c:pt>
                <c:pt idx="123">
                  <c:v>45130</c:v>
                </c:pt>
                <c:pt idx="124">
                  <c:v>45131</c:v>
                </c:pt>
                <c:pt idx="125">
                  <c:v>45132</c:v>
                </c:pt>
                <c:pt idx="126">
                  <c:v>45133</c:v>
                </c:pt>
                <c:pt idx="127">
                  <c:v>45134</c:v>
                </c:pt>
                <c:pt idx="128">
                  <c:v>45137</c:v>
                </c:pt>
                <c:pt idx="129">
                  <c:v>45138</c:v>
                </c:pt>
                <c:pt idx="130">
                  <c:v>45139</c:v>
                </c:pt>
                <c:pt idx="131">
                  <c:v>45140</c:v>
                </c:pt>
                <c:pt idx="132">
                  <c:v>45141</c:v>
                </c:pt>
                <c:pt idx="133">
                  <c:v>45144</c:v>
                </c:pt>
                <c:pt idx="134">
                  <c:v>45145</c:v>
                </c:pt>
                <c:pt idx="135">
                  <c:v>45146</c:v>
                </c:pt>
                <c:pt idx="136">
                  <c:v>45147</c:v>
                </c:pt>
                <c:pt idx="137">
                  <c:v>45148</c:v>
                </c:pt>
                <c:pt idx="138">
                  <c:v>45154</c:v>
                </c:pt>
                <c:pt idx="139">
                  <c:v>45155</c:v>
                </c:pt>
                <c:pt idx="140">
                  <c:v>45158</c:v>
                </c:pt>
                <c:pt idx="141">
                  <c:v>45159</c:v>
                </c:pt>
                <c:pt idx="142">
                  <c:v>45160</c:v>
                </c:pt>
                <c:pt idx="143">
                  <c:v>45161</c:v>
                </c:pt>
                <c:pt idx="144">
                  <c:v>45162</c:v>
                </c:pt>
                <c:pt idx="145">
                  <c:v>45165</c:v>
                </c:pt>
                <c:pt idx="146">
                  <c:v>45166</c:v>
                </c:pt>
                <c:pt idx="147">
                  <c:v>45167</c:v>
                </c:pt>
                <c:pt idx="148">
                  <c:v>45168</c:v>
                </c:pt>
                <c:pt idx="149">
                  <c:v>45169</c:v>
                </c:pt>
                <c:pt idx="150">
                  <c:v>45173</c:v>
                </c:pt>
                <c:pt idx="151">
                  <c:v>45174</c:v>
                </c:pt>
                <c:pt idx="152">
                  <c:v>45175</c:v>
                </c:pt>
                <c:pt idx="153">
                  <c:v>45176</c:v>
                </c:pt>
                <c:pt idx="154">
                  <c:v>45179</c:v>
                </c:pt>
                <c:pt idx="155">
                  <c:v>45180</c:v>
                </c:pt>
                <c:pt idx="156">
                  <c:v>45181</c:v>
                </c:pt>
                <c:pt idx="157">
                  <c:v>45182</c:v>
                </c:pt>
                <c:pt idx="158">
                  <c:v>45183</c:v>
                </c:pt>
                <c:pt idx="159">
                  <c:v>45186</c:v>
                </c:pt>
                <c:pt idx="160">
                  <c:v>45187</c:v>
                </c:pt>
                <c:pt idx="161">
                  <c:v>45188</c:v>
                </c:pt>
                <c:pt idx="162">
                  <c:v>45189</c:v>
                </c:pt>
                <c:pt idx="163">
                  <c:v>45190</c:v>
                </c:pt>
                <c:pt idx="164">
                  <c:v>45193</c:v>
                </c:pt>
                <c:pt idx="165">
                  <c:v>45194</c:v>
                </c:pt>
                <c:pt idx="166">
                  <c:v>45195</c:v>
                </c:pt>
                <c:pt idx="167">
                  <c:v>45196</c:v>
                </c:pt>
                <c:pt idx="168">
                  <c:v>45197</c:v>
                </c:pt>
                <c:pt idx="169">
                  <c:v>45200</c:v>
                </c:pt>
                <c:pt idx="170">
                  <c:v>45201</c:v>
                </c:pt>
                <c:pt idx="171">
                  <c:v>45202</c:v>
                </c:pt>
                <c:pt idx="172">
                  <c:v>45203</c:v>
                </c:pt>
                <c:pt idx="173">
                  <c:v>45204</c:v>
                </c:pt>
                <c:pt idx="174">
                  <c:v>45208</c:v>
                </c:pt>
                <c:pt idx="175">
                  <c:v>45209</c:v>
                </c:pt>
                <c:pt idx="176">
                  <c:v>45210</c:v>
                </c:pt>
                <c:pt idx="177">
                  <c:v>45211</c:v>
                </c:pt>
                <c:pt idx="178">
                  <c:v>45214</c:v>
                </c:pt>
                <c:pt idx="179">
                  <c:v>45215</c:v>
                </c:pt>
                <c:pt idx="180">
                  <c:v>45216</c:v>
                </c:pt>
                <c:pt idx="181">
                  <c:v>45217</c:v>
                </c:pt>
                <c:pt idx="182">
                  <c:v>45218</c:v>
                </c:pt>
                <c:pt idx="183">
                  <c:v>45221</c:v>
                </c:pt>
                <c:pt idx="184">
                  <c:v>45222</c:v>
                </c:pt>
                <c:pt idx="185">
                  <c:v>45223</c:v>
                </c:pt>
                <c:pt idx="186">
                  <c:v>45224</c:v>
                </c:pt>
                <c:pt idx="187">
                  <c:v>45225</c:v>
                </c:pt>
                <c:pt idx="188">
                  <c:v>45228</c:v>
                </c:pt>
                <c:pt idx="189">
                  <c:v>45229</c:v>
                </c:pt>
                <c:pt idx="190">
                  <c:v>45230</c:v>
                </c:pt>
                <c:pt idx="191">
                  <c:v>45231</c:v>
                </c:pt>
                <c:pt idx="192">
                  <c:v>45232</c:v>
                </c:pt>
                <c:pt idx="193">
                  <c:v>45235</c:v>
                </c:pt>
                <c:pt idx="194">
                  <c:v>45236</c:v>
                </c:pt>
                <c:pt idx="195">
                  <c:v>45237</c:v>
                </c:pt>
                <c:pt idx="196">
                  <c:v>45238</c:v>
                </c:pt>
                <c:pt idx="197">
                  <c:v>45242</c:v>
                </c:pt>
                <c:pt idx="198">
                  <c:v>45243</c:v>
                </c:pt>
                <c:pt idx="199">
                  <c:v>45244</c:v>
                </c:pt>
                <c:pt idx="200">
                  <c:v>45245</c:v>
                </c:pt>
                <c:pt idx="201">
                  <c:v>45246</c:v>
                </c:pt>
                <c:pt idx="202">
                  <c:v>45249</c:v>
                </c:pt>
                <c:pt idx="203">
                  <c:v>45250</c:v>
                </c:pt>
                <c:pt idx="204">
                  <c:v>45251</c:v>
                </c:pt>
                <c:pt idx="205">
                  <c:v>45253</c:v>
                </c:pt>
                <c:pt idx="206">
                  <c:v>45256</c:v>
                </c:pt>
                <c:pt idx="207">
                  <c:v>45257</c:v>
                </c:pt>
                <c:pt idx="208">
                  <c:v>45258</c:v>
                </c:pt>
                <c:pt idx="209">
                  <c:v>45259</c:v>
                </c:pt>
                <c:pt idx="210">
                  <c:v>45260</c:v>
                </c:pt>
                <c:pt idx="211">
                  <c:v>45263</c:v>
                </c:pt>
                <c:pt idx="212">
                  <c:v>45264</c:v>
                </c:pt>
                <c:pt idx="213">
                  <c:v>45265</c:v>
                </c:pt>
                <c:pt idx="214">
                  <c:v>45266</c:v>
                </c:pt>
                <c:pt idx="215">
                  <c:v>45267</c:v>
                </c:pt>
                <c:pt idx="216">
                  <c:v>45270</c:v>
                </c:pt>
                <c:pt idx="217">
                  <c:v>45271</c:v>
                </c:pt>
                <c:pt idx="218">
                  <c:v>45272</c:v>
                </c:pt>
                <c:pt idx="219">
                  <c:v>45273</c:v>
                </c:pt>
                <c:pt idx="220">
                  <c:v>45274</c:v>
                </c:pt>
                <c:pt idx="221">
                  <c:v>45277</c:v>
                </c:pt>
                <c:pt idx="222">
                  <c:v>45278</c:v>
                </c:pt>
                <c:pt idx="223">
                  <c:v>45279</c:v>
                </c:pt>
                <c:pt idx="224">
                  <c:v>45280</c:v>
                </c:pt>
                <c:pt idx="225">
                  <c:v>45281</c:v>
                </c:pt>
                <c:pt idx="226">
                  <c:v>45285</c:v>
                </c:pt>
                <c:pt idx="227">
                  <c:v>45286</c:v>
                </c:pt>
                <c:pt idx="228">
                  <c:v>45287</c:v>
                </c:pt>
                <c:pt idx="229">
                  <c:v>45288</c:v>
                </c:pt>
                <c:pt idx="230">
                  <c:v>45292</c:v>
                </c:pt>
                <c:pt idx="231">
                  <c:v>45293</c:v>
                </c:pt>
                <c:pt idx="232">
                  <c:v>45294</c:v>
                </c:pt>
                <c:pt idx="233">
                  <c:v>45295</c:v>
                </c:pt>
                <c:pt idx="234">
                  <c:v>45298</c:v>
                </c:pt>
                <c:pt idx="235">
                  <c:v>45299</c:v>
                </c:pt>
                <c:pt idx="236">
                  <c:v>45300</c:v>
                </c:pt>
                <c:pt idx="237">
                  <c:v>45301</c:v>
                </c:pt>
                <c:pt idx="238">
                  <c:v>45302</c:v>
                </c:pt>
                <c:pt idx="239">
                  <c:v>45306</c:v>
                </c:pt>
                <c:pt idx="240">
                  <c:v>45307</c:v>
                </c:pt>
                <c:pt idx="241">
                  <c:v>45308</c:v>
                </c:pt>
                <c:pt idx="242">
                  <c:v>45309</c:v>
                </c:pt>
                <c:pt idx="243">
                  <c:v>45312</c:v>
                </c:pt>
                <c:pt idx="244">
                  <c:v>45313</c:v>
                </c:pt>
                <c:pt idx="245">
                  <c:v>45314</c:v>
                </c:pt>
                <c:pt idx="246">
                  <c:v>45315</c:v>
                </c:pt>
                <c:pt idx="247">
                  <c:v>45316</c:v>
                </c:pt>
                <c:pt idx="248">
                  <c:v>45319</c:v>
                </c:pt>
                <c:pt idx="249">
                  <c:v>45320</c:v>
                </c:pt>
                <c:pt idx="250">
                  <c:v>45321</c:v>
                </c:pt>
                <c:pt idx="251">
                  <c:v>45322</c:v>
                </c:pt>
                <c:pt idx="252">
                  <c:v>45323</c:v>
                </c:pt>
                <c:pt idx="253">
                  <c:v>45326</c:v>
                </c:pt>
                <c:pt idx="254">
                  <c:v>45327</c:v>
                </c:pt>
                <c:pt idx="255">
                  <c:v>45328</c:v>
                </c:pt>
                <c:pt idx="256">
                  <c:v>45329</c:v>
                </c:pt>
                <c:pt idx="257">
                  <c:v>45330</c:v>
                </c:pt>
                <c:pt idx="258">
                  <c:v>45333</c:v>
                </c:pt>
                <c:pt idx="259">
                  <c:v>45334</c:v>
                </c:pt>
                <c:pt idx="260">
                  <c:v>45335</c:v>
                </c:pt>
                <c:pt idx="261">
                  <c:v>45336</c:v>
                </c:pt>
                <c:pt idx="262">
                  <c:v>45337</c:v>
                </c:pt>
                <c:pt idx="263">
                  <c:v>45341</c:v>
                </c:pt>
                <c:pt idx="264">
                  <c:v>45342</c:v>
                </c:pt>
                <c:pt idx="265">
                  <c:v>45343</c:v>
                </c:pt>
                <c:pt idx="266">
                  <c:v>45344</c:v>
                </c:pt>
                <c:pt idx="267">
                  <c:v>45347</c:v>
                </c:pt>
                <c:pt idx="268">
                  <c:v>45348</c:v>
                </c:pt>
                <c:pt idx="269">
                  <c:v>45349</c:v>
                </c:pt>
                <c:pt idx="270">
                  <c:v>45350</c:v>
                </c:pt>
                <c:pt idx="271">
                  <c:v>45351</c:v>
                </c:pt>
                <c:pt idx="272">
                  <c:v>45354</c:v>
                </c:pt>
                <c:pt idx="273">
                  <c:v>45355</c:v>
                </c:pt>
                <c:pt idx="274">
                  <c:v>45356</c:v>
                </c:pt>
                <c:pt idx="275">
                  <c:v>45357</c:v>
                </c:pt>
                <c:pt idx="276">
                  <c:v>45358</c:v>
                </c:pt>
                <c:pt idx="277">
                  <c:v>45361</c:v>
                </c:pt>
                <c:pt idx="278">
                  <c:v>45362</c:v>
                </c:pt>
                <c:pt idx="279">
                  <c:v>45363</c:v>
                </c:pt>
                <c:pt idx="280">
                  <c:v>45364</c:v>
                </c:pt>
                <c:pt idx="281">
                  <c:v>45365</c:v>
                </c:pt>
                <c:pt idx="282">
                  <c:v>45368</c:v>
                </c:pt>
                <c:pt idx="283">
                  <c:v>45369</c:v>
                </c:pt>
                <c:pt idx="284">
                  <c:v>45370</c:v>
                </c:pt>
                <c:pt idx="285">
                  <c:v>45371</c:v>
                </c:pt>
                <c:pt idx="286">
                  <c:v>45372</c:v>
                </c:pt>
                <c:pt idx="287">
                  <c:v>45375</c:v>
                </c:pt>
                <c:pt idx="288">
                  <c:v>45376</c:v>
                </c:pt>
                <c:pt idx="289">
                  <c:v>45377</c:v>
                </c:pt>
                <c:pt idx="290">
                  <c:v>45378</c:v>
                </c:pt>
                <c:pt idx="291">
                  <c:v>45379</c:v>
                </c:pt>
                <c:pt idx="292">
                  <c:v>45382</c:v>
                </c:pt>
                <c:pt idx="293">
                  <c:v>45383</c:v>
                </c:pt>
                <c:pt idx="294">
                  <c:v>45384</c:v>
                </c:pt>
                <c:pt idx="295">
                  <c:v>45385</c:v>
                </c:pt>
                <c:pt idx="296">
                  <c:v>45386</c:v>
                </c:pt>
                <c:pt idx="297">
                  <c:v>45389</c:v>
                </c:pt>
                <c:pt idx="298">
                  <c:v>45390</c:v>
                </c:pt>
                <c:pt idx="299">
                  <c:v>45391</c:v>
                </c:pt>
                <c:pt idx="300">
                  <c:v>45392</c:v>
                </c:pt>
                <c:pt idx="301">
                  <c:v>45393</c:v>
                </c:pt>
                <c:pt idx="302">
                  <c:v>45396</c:v>
                </c:pt>
                <c:pt idx="303">
                  <c:v>45397</c:v>
                </c:pt>
                <c:pt idx="304">
                  <c:v>45398</c:v>
                </c:pt>
                <c:pt idx="305">
                  <c:v>45399</c:v>
                </c:pt>
                <c:pt idx="306">
                  <c:v>45400</c:v>
                </c:pt>
                <c:pt idx="307">
                  <c:v>45403</c:v>
                </c:pt>
                <c:pt idx="308">
                  <c:v>45404</c:v>
                </c:pt>
                <c:pt idx="309">
                  <c:v>45405</c:v>
                </c:pt>
                <c:pt idx="310">
                  <c:v>45406</c:v>
                </c:pt>
                <c:pt idx="311">
                  <c:v>45407</c:v>
                </c:pt>
                <c:pt idx="312">
                  <c:v>45410</c:v>
                </c:pt>
                <c:pt idx="313">
                  <c:v>45411</c:v>
                </c:pt>
                <c:pt idx="314">
                  <c:v>45412</c:v>
                </c:pt>
                <c:pt idx="315">
                  <c:v>45413</c:v>
                </c:pt>
                <c:pt idx="316">
                  <c:v>45414</c:v>
                </c:pt>
                <c:pt idx="317">
                  <c:v>45417</c:v>
                </c:pt>
                <c:pt idx="318">
                  <c:v>45418</c:v>
                </c:pt>
                <c:pt idx="319">
                  <c:v>45419</c:v>
                </c:pt>
                <c:pt idx="320">
                  <c:v>45420</c:v>
                </c:pt>
                <c:pt idx="321">
                  <c:v>45421</c:v>
                </c:pt>
                <c:pt idx="322">
                  <c:v>45424</c:v>
                </c:pt>
                <c:pt idx="323">
                  <c:v>45425</c:v>
                </c:pt>
                <c:pt idx="324">
                  <c:v>45426</c:v>
                </c:pt>
                <c:pt idx="325">
                  <c:v>45427</c:v>
                </c:pt>
                <c:pt idx="326">
                  <c:v>45428</c:v>
                </c:pt>
                <c:pt idx="327">
                  <c:v>45431</c:v>
                </c:pt>
                <c:pt idx="328">
                  <c:v>45432</c:v>
                </c:pt>
                <c:pt idx="329">
                  <c:v>45433</c:v>
                </c:pt>
                <c:pt idx="330">
                  <c:v>45434</c:v>
                </c:pt>
                <c:pt idx="331">
                  <c:v>45435</c:v>
                </c:pt>
                <c:pt idx="332">
                  <c:v>45439</c:v>
                </c:pt>
                <c:pt idx="333">
                  <c:v>45440</c:v>
                </c:pt>
                <c:pt idx="334">
                  <c:v>45441</c:v>
                </c:pt>
                <c:pt idx="335">
                  <c:v>45442</c:v>
                </c:pt>
                <c:pt idx="336">
                  <c:v>45445</c:v>
                </c:pt>
                <c:pt idx="337">
                  <c:v>45446</c:v>
                </c:pt>
                <c:pt idx="338">
                  <c:v>45447</c:v>
                </c:pt>
                <c:pt idx="339">
                  <c:v>45448</c:v>
                </c:pt>
                <c:pt idx="340">
                  <c:v>45449</c:v>
                </c:pt>
                <c:pt idx="341">
                  <c:v>45452</c:v>
                </c:pt>
                <c:pt idx="342">
                  <c:v>45453</c:v>
                </c:pt>
                <c:pt idx="343">
                  <c:v>45454</c:v>
                </c:pt>
                <c:pt idx="344">
                  <c:v>45455</c:v>
                </c:pt>
                <c:pt idx="345">
                  <c:v>45456</c:v>
                </c:pt>
                <c:pt idx="346">
                  <c:v>45459</c:v>
                </c:pt>
                <c:pt idx="347">
                  <c:v>45460</c:v>
                </c:pt>
                <c:pt idx="348">
                  <c:v>45461</c:v>
                </c:pt>
                <c:pt idx="349">
                  <c:v>45462</c:v>
                </c:pt>
                <c:pt idx="350">
                  <c:v>45463</c:v>
                </c:pt>
                <c:pt idx="351">
                  <c:v>45466</c:v>
                </c:pt>
                <c:pt idx="352">
                  <c:v>45467</c:v>
                </c:pt>
                <c:pt idx="353">
                  <c:v>45468</c:v>
                </c:pt>
                <c:pt idx="354">
                  <c:v>45469</c:v>
                </c:pt>
                <c:pt idx="355">
                  <c:v>45470</c:v>
                </c:pt>
                <c:pt idx="356">
                  <c:v>45473</c:v>
                </c:pt>
                <c:pt idx="357">
                  <c:v>45474</c:v>
                </c:pt>
                <c:pt idx="358">
                  <c:v>45475</c:v>
                </c:pt>
                <c:pt idx="359">
                  <c:v>45477</c:v>
                </c:pt>
                <c:pt idx="360">
                  <c:v>45480</c:v>
                </c:pt>
                <c:pt idx="361">
                  <c:v>45481</c:v>
                </c:pt>
                <c:pt idx="362">
                  <c:v>45482</c:v>
                </c:pt>
                <c:pt idx="363">
                  <c:v>45483</c:v>
                </c:pt>
                <c:pt idx="364">
                  <c:v>45484</c:v>
                </c:pt>
                <c:pt idx="365">
                  <c:v>45487</c:v>
                </c:pt>
                <c:pt idx="366">
                  <c:v>45488</c:v>
                </c:pt>
                <c:pt idx="367">
                  <c:v>45489</c:v>
                </c:pt>
                <c:pt idx="368">
                  <c:v>45490</c:v>
                </c:pt>
                <c:pt idx="369">
                  <c:v>45494</c:v>
                </c:pt>
                <c:pt idx="370">
                  <c:v>45495</c:v>
                </c:pt>
                <c:pt idx="371">
                  <c:v>45496</c:v>
                </c:pt>
                <c:pt idx="372">
                  <c:v>45497</c:v>
                </c:pt>
                <c:pt idx="373">
                  <c:v>45498</c:v>
                </c:pt>
                <c:pt idx="374">
                  <c:v>45501</c:v>
                </c:pt>
                <c:pt idx="375">
                  <c:v>45502</c:v>
                </c:pt>
                <c:pt idx="376">
                  <c:v>45503</c:v>
                </c:pt>
                <c:pt idx="377">
                  <c:v>45504</c:v>
                </c:pt>
                <c:pt idx="378">
                  <c:v>45505</c:v>
                </c:pt>
                <c:pt idx="379">
                  <c:v>45508</c:v>
                </c:pt>
                <c:pt idx="380">
                  <c:v>45509</c:v>
                </c:pt>
                <c:pt idx="381">
                  <c:v>45510</c:v>
                </c:pt>
                <c:pt idx="382">
                  <c:v>45511</c:v>
                </c:pt>
                <c:pt idx="383">
                  <c:v>45512</c:v>
                </c:pt>
                <c:pt idx="384">
                  <c:v>45515</c:v>
                </c:pt>
                <c:pt idx="385">
                  <c:v>45516</c:v>
                </c:pt>
                <c:pt idx="386">
                  <c:v>45517</c:v>
                </c:pt>
                <c:pt idx="387">
                  <c:v>45518</c:v>
                </c:pt>
                <c:pt idx="388">
                  <c:v>45519</c:v>
                </c:pt>
                <c:pt idx="389">
                  <c:v>45522</c:v>
                </c:pt>
                <c:pt idx="390">
                  <c:v>45523</c:v>
                </c:pt>
                <c:pt idx="391">
                  <c:v>45524</c:v>
                </c:pt>
                <c:pt idx="392">
                  <c:v>45525</c:v>
                </c:pt>
                <c:pt idx="393">
                  <c:v>45526</c:v>
                </c:pt>
                <c:pt idx="394">
                  <c:v>45531</c:v>
                </c:pt>
                <c:pt idx="395">
                  <c:v>45532</c:v>
                </c:pt>
                <c:pt idx="396">
                  <c:v>45533</c:v>
                </c:pt>
                <c:pt idx="397">
                  <c:v>45537</c:v>
                </c:pt>
                <c:pt idx="398">
                  <c:v>45538</c:v>
                </c:pt>
                <c:pt idx="399">
                  <c:v>45539</c:v>
                </c:pt>
                <c:pt idx="400">
                  <c:v>45540</c:v>
                </c:pt>
                <c:pt idx="401">
                  <c:v>45543</c:v>
                </c:pt>
                <c:pt idx="402">
                  <c:v>45544</c:v>
                </c:pt>
                <c:pt idx="403">
                  <c:v>45545</c:v>
                </c:pt>
                <c:pt idx="404">
                  <c:v>45546</c:v>
                </c:pt>
                <c:pt idx="405">
                  <c:v>45547</c:v>
                </c:pt>
                <c:pt idx="406">
                  <c:v>45548</c:v>
                </c:pt>
                <c:pt idx="407">
                  <c:v>45550</c:v>
                </c:pt>
                <c:pt idx="408">
                  <c:v>45551</c:v>
                </c:pt>
                <c:pt idx="409">
                  <c:v>45552</c:v>
                </c:pt>
                <c:pt idx="410">
                  <c:v>45553</c:v>
                </c:pt>
                <c:pt idx="411">
                  <c:v>45554</c:v>
                </c:pt>
                <c:pt idx="412">
                  <c:v>45557</c:v>
                </c:pt>
                <c:pt idx="413">
                  <c:v>45558</c:v>
                </c:pt>
                <c:pt idx="414">
                  <c:v>45559</c:v>
                </c:pt>
                <c:pt idx="415">
                  <c:v>45560</c:v>
                </c:pt>
                <c:pt idx="416">
                  <c:v>45561</c:v>
                </c:pt>
                <c:pt idx="417">
                  <c:v>45564</c:v>
                </c:pt>
                <c:pt idx="418">
                  <c:v>45565</c:v>
                </c:pt>
                <c:pt idx="419">
                  <c:v>45566</c:v>
                </c:pt>
                <c:pt idx="420">
                  <c:v>45567</c:v>
                </c:pt>
                <c:pt idx="421">
                  <c:v>45568</c:v>
                </c:pt>
                <c:pt idx="422">
                  <c:v>45572</c:v>
                </c:pt>
                <c:pt idx="423">
                  <c:v>45573</c:v>
                </c:pt>
                <c:pt idx="424">
                  <c:v>45574</c:v>
                </c:pt>
                <c:pt idx="425">
                  <c:v>45575</c:v>
                </c:pt>
                <c:pt idx="426">
                  <c:v>45578</c:v>
                </c:pt>
                <c:pt idx="427">
                  <c:v>45579</c:v>
                </c:pt>
                <c:pt idx="428">
                  <c:v>45580</c:v>
                </c:pt>
                <c:pt idx="429">
                  <c:v>45581</c:v>
                </c:pt>
                <c:pt idx="430">
                  <c:v>45582</c:v>
                </c:pt>
                <c:pt idx="431">
                  <c:v>45585</c:v>
                </c:pt>
                <c:pt idx="432">
                  <c:v>45586</c:v>
                </c:pt>
                <c:pt idx="433">
                  <c:v>45587</c:v>
                </c:pt>
                <c:pt idx="434">
                  <c:v>45588</c:v>
                </c:pt>
                <c:pt idx="435">
                  <c:v>45592</c:v>
                </c:pt>
                <c:pt idx="436">
                  <c:v>45593</c:v>
                </c:pt>
                <c:pt idx="437">
                  <c:v>45594</c:v>
                </c:pt>
                <c:pt idx="438">
                  <c:v>45595</c:v>
                </c:pt>
                <c:pt idx="439">
                  <c:v>45596</c:v>
                </c:pt>
                <c:pt idx="440">
                  <c:v>45599</c:v>
                </c:pt>
                <c:pt idx="441">
                  <c:v>45600</c:v>
                </c:pt>
                <c:pt idx="442">
                  <c:v>45601</c:v>
                </c:pt>
                <c:pt idx="443">
                  <c:v>45602</c:v>
                </c:pt>
                <c:pt idx="444">
                  <c:v>45603</c:v>
                </c:pt>
                <c:pt idx="445">
                  <c:v>45607</c:v>
                </c:pt>
                <c:pt idx="446">
                  <c:v>45608</c:v>
                </c:pt>
                <c:pt idx="447">
                  <c:v>45609</c:v>
                </c:pt>
                <c:pt idx="448">
                  <c:v>45610</c:v>
                </c:pt>
                <c:pt idx="449">
                  <c:v>45613</c:v>
                </c:pt>
                <c:pt idx="450">
                  <c:v>45614</c:v>
                </c:pt>
                <c:pt idx="451">
                  <c:v>45615</c:v>
                </c:pt>
                <c:pt idx="452">
                  <c:v>45616</c:v>
                </c:pt>
                <c:pt idx="453">
                  <c:v>45617</c:v>
                </c:pt>
                <c:pt idx="454">
                  <c:v>45620</c:v>
                </c:pt>
                <c:pt idx="455">
                  <c:v>45621</c:v>
                </c:pt>
                <c:pt idx="456">
                  <c:v>45622</c:v>
                </c:pt>
                <c:pt idx="457">
                  <c:v>45623</c:v>
                </c:pt>
                <c:pt idx="458">
                  <c:v>45624</c:v>
                </c:pt>
                <c:pt idx="459">
                  <c:v>45627</c:v>
                </c:pt>
                <c:pt idx="460">
                  <c:v>45628</c:v>
                </c:pt>
                <c:pt idx="461">
                  <c:v>45629</c:v>
                </c:pt>
                <c:pt idx="462">
                  <c:v>45630</c:v>
                </c:pt>
                <c:pt idx="463">
                  <c:v>45631</c:v>
                </c:pt>
                <c:pt idx="464">
                  <c:v>45634</c:v>
                </c:pt>
                <c:pt idx="465">
                  <c:v>45635</c:v>
                </c:pt>
                <c:pt idx="466">
                  <c:v>45636</c:v>
                </c:pt>
                <c:pt idx="467">
                  <c:v>45637</c:v>
                </c:pt>
                <c:pt idx="468">
                  <c:v>45638</c:v>
                </c:pt>
                <c:pt idx="469">
                  <c:v>45641</c:v>
                </c:pt>
                <c:pt idx="470">
                  <c:v>45642</c:v>
                </c:pt>
                <c:pt idx="471">
                  <c:v>45643</c:v>
                </c:pt>
                <c:pt idx="472">
                  <c:v>45644</c:v>
                </c:pt>
                <c:pt idx="473">
                  <c:v>45645</c:v>
                </c:pt>
                <c:pt idx="474">
                  <c:v>45648</c:v>
                </c:pt>
                <c:pt idx="475">
                  <c:v>45649</c:v>
                </c:pt>
                <c:pt idx="476">
                  <c:v>45650</c:v>
                </c:pt>
                <c:pt idx="477">
                  <c:v>45651</c:v>
                </c:pt>
                <c:pt idx="478">
                  <c:v>45652</c:v>
                </c:pt>
                <c:pt idx="479">
                  <c:v>45655</c:v>
                </c:pt>
                <c:pt idx="480">
                  <c:v>45656</c:v>
                </c:pt>
                <c:pt idx="481">
                  <c:v>45658</c:v>
                </c:pt>
                <c:pt idx="482">
                  <c:v>45659</c:v>
                </c:pt>
                <c:pt idx="483">
                  <c:v>45662</c:v>
                </c:pt>
                <c:pt idx="484">
                  <c:v>45663</c:v>
                </c:pt>
                <c:pt idx="485">
                  <c:v>45664</c:v>
                </c:pt>
                <c:pt idx="486">
                  <c:v>45665</c:v>
                </c:pt>
                <c:pt idx="487">
                  <c:v>45666</c:v>
                </c:pt>
                <c:pt idx="488">
                  <c:v>45669</c:v>
                </c:pt>
                <c:pt idx="489">
                  <c:v>45670</c:v>
                </c:pt>
                <c:pt idx="490">
                  <c:v>45671</c:v>
                </c:pt>
                <c:pt idx="491">
                  <c:v>45672</c:v>
                </c:pt>
                <c:pt idx="492">
                  <c:v>45673</c:v>
                </c:pt>
                <c:pt idx="493">
                  <c:v>45676</c:v>
                </c:pt>
                <c:pt idx="494">
                  <c:v>45677</c:v>
                </c:pt>
                <c:pt idx="495">
                  <c:v>45678</c:v>
                </c:pt>
                <c:pt idx="496">
                  <c:v>45679</c:v>
                </c:pt>
                <c:pt idx="497">
                  <c:v>45680</c:v>
                </c:pt>
                <c:pt idx="498">
                  <c:v>45683</c:v>
                </c:pt>
                <c:pt idx="499">
                  <c:v>45684</c:v>
                </c:pt>
                <c:pt idx="500">
                  <c:v>45685</c:v>
                </c:pt>
                <c:pt idx="501">
                  <c:v>45686</c:v>
                </c:pt>
                <c:pt idx="502">
                  <c:v>45687</c:v>
                </c:pt>
                <c:pt idx="503">
                  <c:v>45690</c:v>
                </c:pt>
                <c:pt idx="504">
                  <c:v>45691</c:v>
                </c:pt>
                <c:pt idx="505">
                  <c:v>45692</c:v>
                </c:pt>
                <c:pt idx="506">
                  <c:v>45693</c:v>
                </c:pt>
                <c:pt idx="507">
                  <c:v>45694</c:v>
                </c:pt>
                <c:pt idx="508">
                  <c:v>45697</c:v>
                </c:pt>
                <c:pt idx="509">
                  <c:v>45698</c:v>
                </c:pt>
                <c:pt idx="510">
                  <c:v>45699</c:v>
                </c:pt>
                <c:pt idx="511">
                  <c:v>45700</c:v>
                </c:pt>
                <c:pt idx="512">
                  <c:v>45701</c:v>
                </c:pt>
                <c:pt idx="513">
                  <c:v>45705</c:v>
                </c:pt>
                <c:pt idx="514">
                  <c:v>45706</c:v>
                </c:pt>
                <c:pt idx="515">
                  <c:v>45707</c:v>
                </c:pt>
                <c:pt idx="516">
                  <c:v>45708</c:v>
                </c:pt>
                <c:pt idx="517">
                  <c:v>45711</c:v>
                </c:pt>
                <c:pt idx="518">
                  <c:v>45712</c:v>
                </c:pt>
                <c:pt idx="519">
                  <c:v>45713</c:v>
                </c:pt>
                <c:pt idx="520">
                  <c:v>45714</c:v>
                </c:pt>
                <c:pt idx="521">
                  <c:v>45715</c:v>
                </c:pt>
                <c:pt idx="522">
                  <c:v>45718</c:v>
                </c:pt>
                <c:pt idx="523">
                  <c:v>45719</c:v>
                </c:pt>
                <c:pt idx="524">
                  <c:v>45720</c:v>
                </c:pt>
                <c:pt idx="525">
                  <c:v>45721</c:v>
                </c:pt>
                <c:pt idx="526">
                  <c:v>45722</c:v>
                </c:pt>
                <c:pt idx="527">
                  <c:v>45725</c:v>
                </c:pt>
                <c:pt idx="528">
                  <c:v>45726</c:v>
                </c:pt>
                <c:pt idx="529">
                  <c:v>45727</c:v>
                </c:pt>
                <c:pt idx="530">
                  <c:v>45728</c:v>
                </c:pt>
                <c:pt idx="531">
                  <c:v>45729</c:v>
                </c:pt>
                <c:pt idx="532">
                  <c:v>45732</c:v>
                </c:pt>
                <c:pt idx="533">
                  <c:v>45733</c:v>
                </c:pt>
                <c:pt idx="534">
                  <c:v>45734</c:v>
                </c:pt>
                <c:pt idx="535">
                  <c:v>45735</c:v>
                </c:pt>
                <c:pt idx="536">
                  <c:v>45736</c:v>
                </c:pt>
                <c:pt idx="537">
                  <c:v>45739</c:v>
                </c:pt>
                <c:pt idx="538">
                  <c:v>45740</c:v>
                </c:pt>
                <c:pt idx="539">
                  <c:v>45741</c:v>
                </c:pt>
                <c:pt idx="540">
                  <c:v>45742</c:v>
                </c:pt>
                <c:pt idx="541">
                  <c:v>45743</c:v>
                </c:pt>
                <c:pt idx="542">
                  <c:v>45746</c:v>
                </c:pt>
                <c:pt idx="543">
                  <c:v>45747</c:v>
                </c:pt>
                <c:pt idx="544">
                  <c:v>45748</c:v>
                </c:pt>
                <c:pt idx="545">
                  <c:v>45749</c:v>
                </c:pt>
                <c:pt idx="546">
                  <c:v>45750</c:v>
                </c:pt>
                <c:pt idx="547">
                  <c:v>45753</c:v>
                </c:pt>
                <c:pt idx="548">
                  <c:v>45754</c:v>
                </c:pt>
                <c:pt idx="549">
                  <c:v>45755</c:v>
                </c:pt>
                <c:pt idx="550">
                  <c:v>45756</c:v>
                </c:pt>
                <c:pt idx="551">
                  <c:v>45757</c:v>
                </c:pt>
                <c:pt idx="552">
                  <c:v>45758</c:v>
                </c:pt>
                <c:pt idx="553">
                  <c:v>45760</c:v>
                </c:pt>
                <c:pt idx="554">
                  <c:v>45761</c:v>
                </c:pt>
                <c:pt idx="555">
                  <c:v>45762</c:v>
                </c:pt>
                <c:pt idx="556">
                  <c:v>45763</c:v>
                </c:pt>
                <c:pt idx="557">
                  <c:v>45764</c:v>
                </c:pt>
                <c:pt idx="558">
                  <c:v>45767</c:v>
                </c:pt>
                <c:pt idx="559">
                  <c:v>45768</c:v>
                </c:pt>
                <c:pt idx="560">
                  <c:v>45769</c:v>
                </c:pt>
                <c:pt idx="561">
                  <c:v>45770</c:v>
                </c:pt>
                <c:pt idx="562">
                  <c:v>45771</c:v>
                </c:pt>
                <c:pt idx="563">
                  <c:v>45774</c:v>
                </c:pt>
                <c:pt idx="564">
                  <c:v>45775</c:v>
                </c:pt>
                <c:pt idx="565">
                  <c:v>45776</c:v>
                </c:pt>
                <c:pt idx="566">
                  <c:v>45777</c:v>
                </c:pt>
                <c:pt idx="567">
                  <c:v>45778</c:v>
                </c:pt>
                <c:pt idx="568">
                  <c:v>45781</c:v>
                </c:pt>
                <c:pt idx="569">
                  <c:v>45782</c:v>
                </c:pt>
                <c:pt idx="570">
                  <c:v>45783</c:v>
                </c:pt>
                <c:pt idx="571">
                  <c:v>45784</c:v>
                </c:pt>
                <c:pt idx="572">
                  <c:v>45785</c:v>
                </c:pt>
                <c:pt idx="573">
                  <c:v>45788</c:v>
                </c:pt>
                <c:pt idx="574">
                  <c:v>45789</c:v>
                </c:pt>
                <c:pt idx="575">
                  <c:v>45790</c:v>
                </c:pt>
                <c:pt idx="576">
                  <c:v>45791</c:v>
                </c:pt>
                <c:pt idx="577">
                  <c:v>45792</c:v>
                </c:pt>
                <c:pt idx="578">
                  <c:v>45795</c:v>
                </c:pt>
                <c:pt idx="579">
                  <c:v>45796</c:v>
                </c:pt>
                <c:pt idx="580">
                  <c:v>45798</c:v>
                </c:pt>
                <c:pt idx="581">
                  <c:v>45799</c:v>
                </c:pt>
                <c:pt idx="582">
                  <c:v>45804</c:v>
                </c:pt>
                <c:pt idx="583">
                  <c:v>45805</c:v>
                </c:pt>
                <c:pt idx="584">
                  <c:v>45806</c:v>
                </c:pt>
                <c:pt idx="585">
                  <c:v>45809</c:v>
                </c:pt>
                <c:pt idx="586">
                  <c:v>45810</c:v>
                </c:pt>
                <c:pt idx="587">
                  <c:v>45811</c:v>
                </c:pt>
                <c:pt idx="588">
                  <c:v>45812</c:v>
                </c:pt>
                <c:pt idx="589">
                  <c:v>45813</c:v>
                </c:pt>
                <c:pt idx="590">
                  <c:v>45816</c:v>
                </c:pt>
                <c:pt idx="591">
                  <c:v>45817</c:v>
                </c:pt>
                <c:pt idx="592">
                  <c:v>45818</c:v>
                </c:pt>
                <c:pt idx="593">
                  <c:v>45825</c:v>
                </c:pt>
                <c:pt idx="594">
                  <c:v>45827</c:v>
                </c:pt>
                <c:pt idx="595">
                  <c:v>45830</c:v>
                </c:pt>
                <c:pt idx="596">
                  <c:v>45831</c:v>
                </c:pt>
                <c:pt idx="597">
                  <c:v>45832</c:v>
                </c:pt>
                <c:pt idx="598">
                  <c:v>45833</c:v>
                </c:pt>
                <c:pt idx="599">
                  <c:v>45834</c:v>
                </c:pt>
                <c:pt idx="600">
                  <c:v>45837</c:v>
                </c:pt>
                <c:pt idx="601">
                  <c:v>45838</c:v>
                </c:pt>
                <c:pt idx="602">
                  <c:v>45839</c:v>
                </c:pt>
                <c:pt idx="603">
                  <c:v>45840</c:v>
                </c:pt>
                <c:pt idx="604">
                  <c:v>45844</c:v>
                </c:pt>
                <c:pt idx="605">
                  <c:v>45845</c:v>
                </c:pt>
                <c:pt idx="606">
                  <c:v>45846</c:v>
                </c:pt>
                <c:pt idx="607">
                  <c:v>45847</c:v>
                </c:pt>
                <c:pt idx="608">
                  <c:v>45848</c:v>
                </c:pt>
                <c:pt idx="609">
                  <c:v>45851</c:v>
                </c:pt>
                <c:pt idx="610">
                  <c:v>45852</c:v>
                </c:pt>
                <c:pt idx="611">
                  <c:v>45853</c:v>
                </c:pt>
                <c:pt idx="612">
                  <c:v>45854</c:v>
                </c:pt>
                <c:pt idx="613">
                  <c:v>45855</c:v>
                </c:pt>
                <c:pt idx="614">
                  <c:v>45859</c:v>
                </c:pt>
                <c:pt idx="615">
                  <c:v>45860</c:v>
                </c:pt>
                <c:pt idx="616">
                  <c:v>45861</c:v>
                </c:pt>
                <c:pt idx="617">
                  <c:v>45862</c:v>
                </c:pt>
                <c:pt idx="618">
                  <c:v>45865</c:v>
                </c:pt>
                <c:pt idx="619">
                  <c:v>45866</c:v>
                </c:pt>
                <c:pt idx="620">
                  <c:v>45867</c:v>
                </c:pt>
                <c:pt idx="621">
                  <c:v>45868</c:v>
                </c:pt>
                <c:pt idx="622">
                  <c:v>45869</c:v>
                </c:pt>
                <c:pt idx="623">
                  <c:v>45872</c:v>
                </c:pt>
                <c:pt idx="624">
                  <c:v>45873</c:v>
                </c:pt>
                <c:pt idx="625">
                  <c:v>45874</c:v>
                </c:pt>
                <c:pt idx="626">
                  <c:v>45875</c:v>
                </c:pt>
                <c:pt idx="627">
                  <c:v>45876</c:v>
                </c:pt>
                <c:pt idx="628">
                  <c:v>45879</c:v>
                </c:pt>
                <c:pt idx="629">
                  <c:v>45880</c:v>
                </c:pt>
                <c:pt idx="630">
                  <c:v>45881</c:v>
                </c:pt>
                <c:pt idx="631">
                  <c:v>45882</c:v>
                </c:pt>
                <c:pt idx="632">
                  <c:v>45883</c:v>
                </c:pt>
                <c:pt idx="633">
                  <c:v>45886</c:v>
                </c:pt>
                <c:pt idx="634">
                  <c:v>45887</c:v>
                </c:pt>
                <c:pt idx="635">
                  <c:v>45888</c:v>
                </c:pt>
                <c:pt idx="636">
                  <c:v>45889</c:v>
                </c:pt>
                <c:pt idx="637">
                  <c:v>45890</c:v>
                </c:pt>
                <c:pt idx="638">
                  <c:v>45893</c:v>
                </c:pt>
                <c:pt idx="639">
                  <c:v>45894</c:v>
                </c:pt>
                <c:pt idx="640">
                  <c:v>45895</c:v>
                </c:pt>
                <c:pt idx="641">
                  <c:v>45896</c:v>
                </c:pt>
                <c:pt idx="642">
                  <c:v>45897</c:v>
                </c:pt>
                <c:pt idx="643">
                  <c:v>45901</c:v>
                </c:pt>
                <c:pt idx="644">
                  <c:v>45902</c:v>
                </c:pt>
                <c:pt idx="645">
                  <c:v>45903</c:v>
                </c:pt>
                <c:pt idx="646">
                  <c:v>45904</c:v>
                </c:pt>
                <c:pt idx="647">
                  <c:v>45907</c:v>
                </c:pt>
                <c:pt idx="648">
                  <c:v>45908</c:v>
                </c:pt>
                <c:pt idx="649">
                  <c:v>45909</c:v>
                </c:pt>
                <c:pt idx="650">
                  <c:v>45910</c:v>
                </c:pt>
                <c:pt idx="651">
                  <c:v>45911</c:v>
                </c:pt>
                <c:pt idx="652">
                  <c:v>45914</c:v>
                </c:pt>
                <c:pt idx="653">
                  <c:v>45915</c:v>
                </c:pt>
                <c:pt idx="654">
                  <c:v>45916</c:v>
                </c:pt>
                <c:pt idx="655">
                  <c:v>45917</c:v>
                </c:pt>
                <c:pt idx="656">
                  <c:v>45918</c:v>
                </c:pt>
                <c:pt idx="657">
                  <c:v>45921</c:v>
                </c:pt>
                <c:pt idx="658">
                  <c:v>45922</c:v>
                </c:pt>
                <c:pt idx="659">
                  <c:v>45923</c:v>
                </c:pt>
                <c:pt idx="660">
                  <c:v>45924</c:v>
                </c:pt>
                <c:pt idx="661">
                  <c:v>45925</c:v>
                </c:pt>
                <c:pt idx="662">
                  <c:v>45928</c:v>
                </c:pt>
                <c:pt idx="663">
                  <c:v>45929</c:v>
                </c:pt>
                <c:pt idx="664">
                  <c:v>45930</c:v>
                </c:pt>
                <c:pt idx="665">
                  <c:v>45931</c:v>
                </c:pt>
                <c:pt idx="666">
                  <c:v>45932</c:v>
                </c:pt>
                <c:pt idx="667">
                  <c:v>45935</c:v>
                </c:pt>
                <c:pt idx="668">
                  <c:v>45936</c:v>
                </c:pt>
                <c:pt idx="669">
                  <c:v>45937</c:v>
                </c:pt>
                <c:pt idx="670">
                  <c:v>45938</c:v>
                </c:pt>
                <c:pt idx="671">
                  <c:v>45939</c:v>
                </c:pt>
                <c:pt idx="672">
                  <c:v>45943</c:v>
                </c:pt>
                <c:pt idx="673">
                  <c:v>45944</c:v>
                </c:pt>
                <c:pt idx="674">
                  <c:v>45945</c:v>
                </c:pt>
                <c:pt idx="675">
                  <c:v>45946</c:v>
                </c:pt>
                <c:pt idx="676">
                  <c:v>45949</c:v>
                </c:pt>
                <c:pt idx="677">
                  <c:v>45950</c:v>
                </c:pt>
                <c:pt idx="678">
                  <c:v>45951</c:v>
                </c:pt>
                <c:pt idx="679">
                  <c:v>45952</c:v>
                </c:pt>
                <c:pt idx="680">
                  <c:v>45953</c:v>
                </c:pt>
                <c:pt idx="681">
                  <c:v>45956</c:v>
                </c:pt>
                <c:pt idx="682">
                  <c:v>45957</c:v>
                </c:pt>
                <c:pt idx="683">
                  <c:v>45958</c:v>
                </c:pt>
                <c:pt idx="684">
                  <c:v>45959</c:v>
                </c:pt>
                <c:pt idx="685">
                  <c:v>45960</c:v>
                </c:pt>
                <c:pt idx="686">
                  <c:v>45963</c:v>
                </c:pt>
                <c:pt idx="687">
                  <c:v>45964</c:v>
                </c:pt>
                <c:pt idx="688">
                  <c:v>45965</c:v>
                </c:pt>
                <c:pt idx="689">
                  <c:v>45966</c:v>
                </c:pt>
                <c:pt idx="690">
                  <c:v>45967</c:v>
                </c:pt>
                <c:pt idx="691">
                  <c:v>45970</c:v>
                </c:pt>
                <c:pt idx="692">
                  <c:v>45972</c:v>
                </c:pt>
                <c:pt idx="693">
                  <c:v>45973</c:v>
                </c:pt>
                <c:pt idx="694">
                  <c:v>45974</c:v>
                </c:pt>
                <c:pt idx="695">
                  <c:v>45977</c:v>
                </c:pt>
                <c:pt idx="696">
                  <c:v>45978</c:v>
                </c:pt>
                <c:pt idx="697">
                  <c:v>45979</c:v>
                </c:pt>
                <c:pt idx="698">
                  <c:v>45980</c:v>
                </c:pt>
                <c:pt idx="699">
                  <c:v>45981</c:v>
                </c:pt>
                <c:pt idx="700">
                  <c:v>45984</c:v>
                </c:pt>
                <c:pt idx="701">
                  <c:v>45985</c:v>
                </c:pt>
                <c:pt idx="702">
                  <c:v>45986</c:v>
                </c:pt>
                <c:pt idx="703">
                  <c:v>45988</c:v>
                </c:pt>
                <c:pt idx="704">
                  <c:v>45991</c:v>
                </c:pt>
                <c:pt idx="705">
                  <c:v>45992</c:v>
                </c:pt>
                <c:pt idx="706">
                  <c:v>45993</c:v>
                </c:pt>
                <c:pt idx="707">
                  <c:v>45994</c:v>
                </c:pt>
                <c:pt idx="708">
                  <c:v>45995</c:v>
                </c:pt>
                <c:pt idx="709">
                  <c:v>45998</c:v>
                </c:pt>
                <c:pt idx="710">
                  <c:v>45999</c:v>
                </c:pt>
                <c:pt idx="711">
                  <c:v>46000</c:v>
                </c:pt>
                <c:pt idx="712">
                  <c:v>46001</c:v>
                </c:pt>
                <c:pt idx="713">
                  <c:v>46002</c:v>
                </c:pt>
                <c:pt idx="714">
                  <c:v>46005</c:v>
                </c:pt>
                <c:pt idx="715">
                  <c:v>46006</c:v>
                </c:pt>
                <c:pt idx="716">
                  <c:v>46007</c:v>
                </c:pt>
                <c:pt idx="717">
                  <c:v>46008</c:v>
                </c:pt>
                <c:pt idx="718">
                  <c:v>46009</c:v>
                </c:pt>
                <c:pt idx="719">
                  <c:v>46012</c:v>
                </c:pt>
              </c:numCache>
            </c:numRef>
          </c:cat>
          <c:val>
            <c:numRef>
              <c:f>Clean_Data!$D$2:$D$721</c:f>
              <c:numCache>
                <c:formatCode>General</c:formatCode>
                <c:ptCount val="720"/>
                <c:pt idx="0">
                  <c:v>34</c:v>
                </c:pt>
                <c:pt idx="1">
                  <c:v>39</c:v>
                </c:pt>
                <c:pt idx="2">
                  <c:v>39</c:v>
                </c:pt>
                <c:pt idx="3">
                  <c:v>47</c:v>
                </c:pt>
                <c:pt idx="4">
                  <c:v>41</c:v>
                </c:pt>
                <c:pt idx="5">
                  <c:v>11</c:v>
                </c:pt>
                <c:pt idx="6">
                  <c:v>29</c:v>
                </c:pt>
                <c:pt idx="7">
                  <c:v>36</c:v>
                </c:pt>
                <c:pt idx="8">
                  <c:v>27</c:v>
                </c:pt>
                <c:pt idx="9">
                  <c:v>23</c:v>
                </c:pt>
                <c:pt idx="10">
                  <c:v>15</c:v>
                </c:pt>
                <c:pt idx="11">
                  <c:v>12</c:v>
                </c:pt>
                <c:pt idx="12">
                  <c:v>20</c:v>
                </c:pt>
                <c:pt idx="13">
                  <c:v>169</c:v>
                </c:pt>
                <c:pt idx="14">
                  <c:v>161</c:v>
                </c:pt>
                <c:pt idx="15">
                  <c:v>173</c:v>
                </c:pt>
                <c:pt idx="16">
                  <c:v>172</c:v>
                </c:pt>
                <c:pt idx="17">
                  <c:v>220</c:v>
                </c:pt>
                <c:pt idx="18">
                  <c:v>172</c:v>
                </c:pt>
                <c:pt idx="19">
                  <c:v>153</c:v>
                </c:pt>
                <c:pt idx="20">
                  <c:v>184</c:v>
                </c:pt>
                <c:pt idx="21">
                  <c:v>217</c:v>
                </c:pt>
                <c:pt idx="22">
                  <c:v>230</c:v>
                </c:pt>
                <c:pt idx="23">
                  <c:v>178</c:v>
                </c:pt>
                <c:pt idx="24">
                  <c:v>176</c:v>
                </c:pt>
                <c:pt idx="25">
                  <c:v>166</c:v>
                </c:pt>
                <c:pt idx="26">
                  <c:v>169</c:v>
                </c:pt>
                <c:pt idx="27">
                  <c:v>193</c:v>
                </c:pt>
                <c:pt idx="28">
                  <c:v>192</c:v>
                </c:pt>
                <c:pt idx="29">
                  <c:v>160</c:v>
                </c:pt>
                <c:pt idx="30">
                  <c:v>159</c:v>
                </c:pt>
                <c:pt idx="31">
                  <c:v>150</c:v>
                </c:pt>
                <c:pt idx="32">
                  <c:v>206</c:v>
                </c:pt>
                <c:pt idx="33">
                  <c:v>214</c:v>
                </c:pt>
                <c:pt idx="34">
                  <c:v>213</c:v>
                </c:pt>
                <c:pt idx="35">
                  <c:v>146</c:v>
                </c:pt>
                <c:pt idx="36">
                  <c:v>186</c:v>
                </c:pt>
                <c:pt idx="37">
                  <c:v>158</c:v>
                </c:pt>
                <c:pt idx="38">
                  <c:v>193</c:v>
                </c:pt>
                <c:pt idx="39">
                  <c:v>229</c:v>
                </c:pt>
                <c:pt idx="40">
                  <c:v>178</c:v>
                </c:pt>
                <c:pt idx="41">
                  <c:v>173</c:v>
                </c:pt>
                <c:pt idx="42">
                  <c:v>157</c:v>
                </c:pt>
                <c:pt idx="43">
                  <c:v>157</c:v>
                </c:pt>
                <c:pt idx="44">
                  <c:v>159</c:v>
                </c:pt>
                <c:pt idx="45">
                  <c:v>176</c:v>
                </c:pt>
                <c:pt idx="46">
                  <c:v>192</c:v>
                </c:pt>
                <c:pt idx="47">
                  <c:v>168</c:v>
                </c:pt>
                <c:pt idx="48">
                  <c:v>139</c:v>
                </c:pt>
                <c:pt idx="49">
                  <c:v>175</c:v>
                </c:pt>
                <c:pt idx="50">
                  <c:v>210</c:v>
                </c:pt>
                <c:pt idx="51">
                  <c:v>149</c:v>
                </c:pt>
                <c:pt idx="52">
                  <c:v>163</c:v>
                </c:pt>
                <c:pt idx="53">
                  <c:v>152</c:v>
                </c:pt>
                <c:pt idx="54">
                  <c:v>181</c:v>
                </c:pt>
                <c:pt idx="55">
                  <c:v>173</c:v>
                </c:pt>
                <c:pt idx="56">
                  <c:v>192</c:v>
                </c:pt>
                <c:pt idx="57">
                  <c:v>196</c:v>
                </c:pt>
                <c:pt idx="58">
                  <c:v>214</c:v>
                </c:pt>
                <c:pt idx="59">
                  <c:v>224</c:v>
                </c:pt>
                <c:pt idx="60">
                  <c:v>237</c:v>
                </c:pt>
                <c:pt idx="61">
                  <c:v>187</c:v>
                </c:pt>
                <c:pt idx="62">
                  <c:v>222</c:v>
                </c:pt>
                <c:pt idx="63">
                  <c:v>242</c:v>
                </c:pt>
                <c:pt idx="64">
                  <c:v>160</c:v>
                </c:pt>
                <c:pt idx="65">
                  <c:v>208</c:v>
                </c:pt>
                <c:pt idx="66">
                  <c:v>183</c:v>
                </c:pt>
                <c:pt idx="67">
                  <c:v>152</c:v>
                </c:pt>
                <c:pt idx="68">
                  <c:v>213</c:v>
                </c:pt>
                <c:pt idx="69">
                  <c:v>232</c:v>
                </c:pt>
                <c:pt idx="70">
                  <c:v>286</c:v>
                </c:pt>
                <c:pt idx="71">
                  <c:v>219</c:v>
                </c:pt>
                <c:pt idx="72">
                  <c:v>189</c:v>
                </c:pt>
                <c:pt idx="73">
                  <c:v>247</c:v>
                </c:pt>
                <c:pt idx="74">
                  <c:v>210</c:v>
                </c:pt>
                <c:pt idx="75">
                  <c:v>204</c:v>
                </c:pt>
                <c:pt idx="76">
                  <c:v>236</c:v>
                </c:pt>
                <c:pt idx="77">
                  <c:v>177</c:v>
                </c:pt>
                <c:pt idx="78">
                  <c:v>211</c:v>
                </c:pt>
                <c:pt idx="79">
                  <c:v>193</c:v>
                </c:pt>
                <c:pt idx="80">
                  <c:v>152</c:v>
                </c:pt>
                <c:pt idx="81">
                  <c:v>133</c:v>
                </c:pt>
                <c:pt idx="82">
                  <c:v>139</c:v>
                </c:pt>
                <c:pt idx="83">
                  <c:v>94</c:v>
                </c:pt>
                <c:pt idx="84">
                  <c:v>53</c:v>
                </c:pt>
                <c:pt idx="85">
                  <c:v>64</c:v>
                </c:pt>
                <c:pt idx="86">
                  <c:v>71</c:v>
                </c:pt>
                <c:pt idx="87">
                  <c:v>65</c:v>
                </c:pt>
                <c:pt idx="88">
                  <c:v>82</c:v>
                </c:pt>
                <c:pt idx="89">
                  <c:v>68</c:v>
                </c:pt>
                <c:pt idx="90">
                  <c:v>80</c:v>
                </c:pt>
                <c:pt idx="91">
                  <c:v>102</c:v>
                </c:pt>
                <c:pt idx="92">
                  <c:v>93</c:v>
                </c:pt>
                <c:pt idx="93">
                  <c:v>107</c:v>
                </c:pt>
                <c:pt idx="94">
                  <c:v>131</c:v>
                </c:pt>
                <c:pt idx="95">
                  <c:v>168</c:v>
                </c:pt>
                <c:pt idx="96">
                  <c:v>136</c:v>
                </c:pt>
                <c:pt idx="97">
                  <c:v>117</c:v>
                </c:pt>
                <c:pt idx="98">
                  <c:v>52</c:v>
                </c:pt>
                <c:pt idx="99">
                  <c:v>97</c:v>
                </c:pt>
                <c:pt idx="100">
                  <c:v>11</c:v>
                </c:pt>
                <c:pt idx="101">
                  <c:v>34</c:v>
                </c:pt>
                <c:pt idx="102">
                  <c:v>169</c:v>
                </c:pt>
                <c:pt idx="103">
                  <c:v>161</c:v>
                </c:pt>
                <c:pt idx="104">
                  <c:v>173</c:v>
                </c:pt>
                <c:pt idx="105">
                  <c:v>172</c:v>
                </c:pt>
                <c:pt idx="106">
                  <c:v>220</c:v>
                </c:pt>
                <c:pt idx="107">
                  <c:v>172</c:v>
                </c:pt>
                <c:pt idx="108">
                  <c:v>153</c:v>
                </c:pt>
                <c:pt idx="109">
                  <c:v>184</c:v>
                </c:pt>
                <c:pt idx="110">
                  <c:v>217</c:v>
                </c:pt>
                <c:pt idx="111">
                  <c:v>230</c:v>
                </c:pt>
                <c:pt idx="112">
                  <c:v>178</c:v>
                </c:pt>
                <c:pt idx="113">
                  <c:v>176</c:v>
                </c:pt>
                <c:pt idx="114">
                  <c:v>166</c:v>
                </c:pt>
                <c:pt idx="115">
                  <c:v>169</c:v>
                </c:pt>
                <c:pt idx="116">
                  <c:v>193</c:v>
                </c:pt>
                <c:pt idx="117">
                  <c:v>192</c:v>
                </c:pt>
                <c:pt idx="118">
                  <c:v>160</c:v>
                </c:pt>
                <c:pt idx="119">
                  <c:v>159</c:v>
                </c:pt>
                <c:pt idx="120">
                  <c:v>150</c:v>
                </c:pt>
                <c:pt idx="121">
                  <c:v>206</c:v>
                </c:pt>
                <c:pt idx="122">
                  <c:v>214</c:v>
                </c:pt>
                <c:pt idx="123">
                  <c:v>213</c:v>
                </c:pt>
                <c:pt idx="124">
                  <c:v>146</c:v>
                </c:pt>
                <c:pt idx="125">
                  <c:v>186</c:v>
                </c:pt>
                <c:pt idx="126">
                  <c:v>158</c:v>
                </c:pt>
                <c:pt idx="127">
                  <c:v>193</c:v>
                </c:pt>
                <c:pt idx="128">
                  <c:v>229</c:v>
                </c:pt>
                <c:pt idx="129">
                  <c:v>178</c:v>
                </c:pt>
                <c:pt idx="130">
                  <c:v>173</c:v>
                </c:pt>
                <c:pt idx="131">
                  <c:v>157</c:v>
                </c:pt>
                <c:pt idx="132">
                  <c:v>157</c:v>
                </c:pt>
                <c:pt idx="133">
                  <c:v>159</c:v>
                </c:pt>
                <c:pt idx="134">
                  <c:v>176</c:v>
                </c:pt>
                <c:pt idx="135">
                  <c:v>192</c:v>
                </c:pt>
                <c:pt idx="136">
                  <c:v>168</c:v>
                </c:pt>
                <c:pt idx="137">
                  <c:v>139</c:v>
                </c:pt>
                <c:pt idx="138">
                  <c:v>175</c:v>
                </c:pt>
                <c:pt idx="139">
                  <c:v>210</c:v>
                </c:pt>
                <c:pt idx="140">
                  <c:v>149</c:v>
                </c:pt>
                <c:pt idx="141">
                  <c:v>163</c:v>
                </c:pt>
                <c:pt idx="142">
                  <c:v>152</c:v>
                </c:pt>
                <c:pt idx="143">
                  <c:v>181</c:v>
                </c:pt>
                <c:pt idx="144">
                  <c:v>173</c:v>
                </c:pt>
                <c:pt idx="145">
                  <c:v>192</c:v>
                </c:pt>
                <c:pt idx="146">
                  <c:v>196</c:v>
                </c:pt>
                <c:pt idx="147">
                  <c:v>214</c:v>
                </c:pt>
                <c:pt idx="148">
                  <c:v>224</c:v>
                </c:pt>
                <c:pt idx="149">
                  <c:v>237</c:v>
                </c:pt>
                <c:pt idx="150">
                  <c:v>187</c:v>
                </c:pt>
                <c:pt idx="151">
                  <c:v>222</c:v>
                </c:pt>
                <c:pt idx="152">
                  <c:v>242</c:v>
                </c:pt>
                <c:pt idx="153">
                  <c:v>160</c:v>
                </c:pt>
                <c:pt idx="154">
                  <c:v>208</c:v>
                </c:pt>
                <c:pt idx="155">
                  <c:v>183</c:v>
                </c:pt>
                <c:pt idx="156">
                  <c:v>152</c:v>
                </c:pt>
                <c:pt idx="157">
                  <c:v>213</c:v>
                </c:pt>
                <c:pt idx="158">
                  <c:v>232</c:v>
                </c:pt>
                <c:pt idx="159">
                  <c:v>286</c:v>
                </c:pt>
                <c:pt idx="160">
                  <c:v>219</c:v>
                </c:pt>
                <c:pt idx="161">
                  <c:v>189</c:v>
                </c:pt>
                <c:pt idx="162">
                  <c:v>247</c:v>
                </c:pt>
                <c:pt idx="163">
                  <c:v>210</c:v>
                </c:pt>
                <c:pt idx="164">
                  <c:v>204</c:v>
                </c:pt>
                <c:pt idx="165">
                  <c:v>236</c:v>
                </c:pt>
                <c:pt idx="166">
                  <c:v>177</c:v>
                </c:pt>
                <c:pt idx="167">
                  <c:v>211</c:v>
                </c:pt>
                <c:pt idx="168">
                  <c:v>193</c:v>
                </c:pt>
                <c:pt idx="169">
                  <c:v>152</c:v>
                </c:pt>
                <c:pt idx="170">
                  <c:v>133</c:v>
                </c:pt>
                <c:pt idx="171">
                  <c:v>139</c:v>
                </c:pt>
                <c:pt idx="172">
                  <c:v>94</c:v>
                </c:pt>
                <c:pt idx="173">
                  <c:v>53</c:v>
                </c:pt>
                <c:pt idx="174">
                  <c:v>64</c:v>
                </c:pt>
                <c:pt idx="175">
                  <c:v>71</c:v>
                </c:pt>
                <c:pt idx="176">
                  <c:v>65</c:v>
                </c:pt>
                <c:pt idx="177">
                  <c:v>82</c:v>
                </c:pt>
                <c:pt idx="178">
                  <c:v>68</c:v>
                </c:pt>
                <c:pt idx="179">
                  <c:v>80</c:v>
                </c:pt>
                <c:pt idx="180">
                  <c:v>102</c:v>
                </c:pt>
                <c:pt idx="181">
                  <c:v>93</c:v>
                </c:pt>
                <c:pt idx="182">
                  <c:v>107</c:v>
                </c:pt>
                <c:pt idx="183">
                  <c:v>131</c:v>
                </c:pt>
                <c:pt idx="184">
                  <c:v>168</c:v>
                </c:pt>
                <c:pt idx="185">
                  <c:v>136</c:v>
                </c:pt>
                <c:pt idx="186">
                  <c:v>117</c:v>
                </c:pt>
                <c:pt idx="187">
                  <c:v>52</c:v>
                </c:pt>
                <c:pt idx="188">
                  <c:v>97</c:v>
                </c:pt>
                <c:pt idx="189">
                  <c:v>11</c:v>
                </c:pt>
                <c:pt idx="190">
                  <c:v>34</c:v>
                </c:pt>
                <c:pt idx="191">
                  <c:v>197</c:v>
                </c:pt>
                <c:pt idx="192">
                  <c:v>256</c:v>
                </c:pt>
                <c:pt idx="193">
                  <c:v>167</c:v>
                </c:pt>
                <c:pt idx="194">
                  <c:v>159</c:v>
                </c:pt>
                <c:pt idx="195">
                  <c:v>188</c:v>
                </c:pt>
                <c:pt idx="196">
                  <c:v>191</c:v>
                </c:pt>
                <c:pt idx="197">
                  <c:v>233</c:v>
                </c:pt>
                <c:pt idx="198">
                  <c:v>129</c:v>
                </c:pt>
                <c:pt idx="199">
                  <c:v>182</c:v>
                </c:pt>
                <c:pt idx="200">
                  <c:v>201</c:v>
                </c:pt>
                <c:pt idx="201">
                  <c:v>125</c:v>
                </c:pt>
                <c:pt idx="202">
                  <c:v>164</c:v>
                </c:pt>
                <c:pt idx="203">
                  <c:v>158</c:v>
                </c:pt>
                <c:pt idx="204">
                  <c:v>123</c:v>
                </c:pt>
                <c:pt idx="205">
                  <c:v>177</c:v>
                </c:pt>
                <c:pt idx="206">
                  <c:v>205</c:v>
                </c:pt>
                <c:pt idx="207">
                  <c:v>68</c:v>
                </c:pt>
                <c:pt idx="208">
                  <c:v>80</c:v>
                </c:pt>
                <c:pt idx="209">
                  <c:v>102</c:v>
                </c:pt>
                <c:pt idx="210">
                  <c:v>93</c:v>
                </c:pt>
                <c:pt idx="211">
                  <c:v>197</c:v>
                </c:pt>
                <c:pt idx="212">
                  <c:v>256</c:v>
                </c:pt>
                <c:pt idx="213">
                  <c:v>167</c:v>
                </c:pt>
                <c:pt idx="214">
                  <c:v>159</c:v>
                </c:pt>
                <c:pt idx="215">
                  <c:v>188</c:v>
                </c:pt>
                <c:pt idx="216">
                  <c:v>191</c:v>
                </c:pt>
                <c:pt idx="217">
                  <c:v>233</c:v>
                </c:pt>
                <c:pt idx="218">
                  <c:v>129</c:v>
                </c:pt>
                <c:pt idx="219">
                  <c:v>182</c:v>
                </c:pt>
                <c:pt idx="220">
                  <c:v>201</c:v>
                </c:pt>
                <c:pt idx="221">
                  <c:v>125</c:v>
                </c:pt>
                <c:pt idx="222">
                  <c:v>164</c:v>
                </c:pt>
                <c:pt idx="223">
                  <c:v>158</c:v>
                </c:pt>
                <c:pt idx="224">
                  <c:v>123</c:v>
                </c:pt>
                <c:pt idx="225">
                  <c:v>177</c:v>
                </c:pt>
                <c:pt idx="226">
                  <c:v>205</c:v>
                </c:pt>
                <c:pt idx="227">
                  <c:v>68</c:v>
                </c:pt>
                <c:pt idx="228">
                  <c:v>80</c:v>
                </c:pt>
                <c:pt idx="229">
                  <c:v>102</c:v>
                </c:pt>
                <c:pt idx="230">
                  <c:v>93</c:v>
                </c:pt>
                <c:pt idx="231">
                  <c:v>107</c:v>
                </c:pt>
                <c:pt idx="232">
                  <c:v>131</c:v>
                </c:pt>
                <c:pt idx="233">
                  <c:v>168</c:v>
                </c:pt>
                <c:pt idx="234">
                  <c:v>136</c:v>
                </c:pt>
                <c:pt idx="235">
                  <c:v>117</c:v>
                </c:pt>
                <c:pt idx="236">
                  <c:v>52</c:v>
                </c:pt>
                <c:pt idx="237">
                  <c:v>97</c:v>
                </c:pt>
                <c:pt idx="238">
                  <c:v>11</c:v>
                </c:pt>
                <c:pt idx="239">
                  <c:v>34</c:v>
                </c:pt>
                <c:pt idx="240">
                  <c:v>39</c:v>
                </c:pt>
                <c:pt idx="241">
                  <c:v>125</c:v>
                </c:pt>
                <c:pt idx="242">
                  <c:v>164</c:v>
                </c:pt>
                <c:pt idx="243">
                  <c:v>158</c:v>
                </c:pt>
                <c:pt idx="244">
                  <c:v>123</c:v>
                </c:pt>
                <c:pt idx="245">
                  <c:v>177</c:v>
                </c:pt>
                <c:pt idx="246">
                  <c:v>205</c:v>
                </c:pt>
                <c:pt idx="247">
                  <c:v>155</c:v>
                </c:pt>
                <c:pt idx="248">
                  <c:v>126</c:v>
                </c:pt>
                <c:pt idx="249">
                  <c:v>166</c:v>
                </c:pt>
                <c:pt idx="250">
                  <c:v>208</c:v>
                </c:pt>
                <c:pt idx="251">
                  <c:v>258</c:v>
                </c:pt>
                <c:pt idx="252">
                  <c:v>289</c:v>
                </c:pt>
                <c:pt idx="253">
                  <c:v>248</c:v>
                </c:pt>
                <c:pt idx="254">
                  <c:v>345</c:v>
                </c:pt>
                <c:pt idx="255">
                  <c:v>323</c:v>
                </c:pt>
                <c:pt idx="256">
                  <c:v>330</c:v>
                </c:pt>
                <c:pt idx="257">
                  <c:v>358</c:v>
                </c:pt>
                <c:pt idx="258">
                  <c:v>226</c:v>
                </c:pt>
                <c:pt idx="259">
                  <c:v>440</c:v>
                </c:pt>
                <c:pt idx="260">
                  <c:v>349</c:v>
                </c:pt>
                <c:pt idx="261">
                  <c:v>272</c:v>
                </c:pt>
                <c:pt idx="262">
                  <c:v>272</c:v>
                </c:pt>
                <c:pt idx="263">
                  <c:v>371</c:v>
                </c:pt>
                <c:pt idx="264">
                  <c:v>273</c:v>
                </c:pt>
                <c:pt idx="265">
                  <c:v>318</c:v>
                </c:pt>
                <c:pt idx="266">
                  <c:v>292</c:v>
                </c:pt>
                <c:pt idx="267">
                  <c:v>366</c:v>
                </c:pt>
                <c:pt idx="268">
                  <c:v>326</c:v>
                </c:pt>
                <c:pt idx="269">
                  <c:v>306</c:v>
                </c:pt>
                <c:pt idx="270">
                  <c:v>274</c:v>
                </c:pt>
                <c:pt idx="271">
                  <c:v>354</c:v>
                </c:pt>
                <c:pt idx="272">
                  <c:v>347</c:v>
                </c:pt>
                <c:pt idx="273">
                  <c:v>340</c:v>
                </c:pt>
                <c:pt idx="274">
                  <c:v>345</c:v>
                </c:pt>
                <c:pt idx="275">
                  <c:v>277</c:v>
                </c:pt>
                <c:pt idx="276">
                  <c:v>328</c:v>
                </c:pt>
                <c:pt idx="277">
                  <c:v>326</c:v>
                </c:pt>
                <c:pt idx="278">
                  <c:v>290</c:v>
                </c:pt>
                <c:pt idx="279">
                  <c:v>290</c:v>
                </c:pt>
                <c:pt idx="280">
                  <c:v>167</c:v>
                </c:pt>
                <c:pt idx="281">
                  <c:v>252</c:v>
                </c:pt>
                <c:pt idx="282">
                  <c:v>259</c:v>
                </c:pt>
                <c:pt idx="283">
                  <c:v>188</c:v>
                </c:pt>
                <c:pt idx="284">
                  <c:v>256</c:v>
                </c:pt>
                <c:pt idx="285">
                  <c:v>174</c:v>
                </c:pt>
                <c:pt idx="286">
                  <c:v>141</c:v>
                </c:pt>
                <c:pt idx="287">
                  <c:v>221</c:v>
                </c:pt>
                <c:pt idx="288">
                  <c:v>224</c:v>
                </c:pt>
                <c:pt idx="289">
                  <c:v>200</c:v>
                </c:pt>
                <c:pt idx="290">
                  <c:v>185</c:v>
                </c:pt>
                <c:pt idx="291">
                  <c:v>248</c:v>
                </c:pt>
                <c:pt idx="292">
                  <c:v>151</c:v>
                </c:pt>
                <c:pt idx="293">
                  <c:v>171</c:v>
                </c:pt>
                <c:pt idx="294">
                  <c:v>175</c:v>
                </c:pt>
                <c:pt idx="295">
                  <c:v>190</c:v>
                </c:pt>
                <c:pt idx="296">
                  <c:v>152</c:v>
                </c:pt>
                <c:pt idx="297">
                  <c:v>233</c:v>
                </c:pt>
                <c:pt idx="298">
                  <c:v>167</c:v>
                </c:pt>
                <c:pt idx="299">
                  <c:v>217</c:v>
                </c:pt>
                <c:pt idx="300">
                  <c:v>142</c:v>
                </c:pt>
                <c:pt idx="301">
                  <c:v>220</c:v>
                </c:pt>
                <c:pt idx="302">
                  <c:v>243</c:v>
                </c:pt>
                <c:pt idx="303">
                  <c:v>176</c:v>
                </c:pt>
                <c:pt idx="304">
                  <c:v>205</c:v>
                </c:pt>
                <c:pt idx="305">
                  <c:v>274</c:v>
                </c:pt>
                <c:pt idx="306">
                  <c:v>258</c:v>
                </c:pt>
                <c:pt idx="307">
                  <c:v>343</c:v>
                </c:pt>
                <c:pt idx="308">
                  <c:v>251</c:v>
                </c:pt>
                <c:pt idx="309">
                  <c:v>307</c:v>
                </c:pt>
                <c:pt idx="310">
                  <c:v>307</c:v>
                </c:pt>
                <c:pt idx="311">
                  <c:v>333</c:v>
                </c:pt>
                <c:pt idx="312">
                  <c:v>365</c:v>
                </c:pt>
                <c:pt idx="313">
                  <c:v>255</c:v>
                </c:pt>
                <c:pt idx="314">
                  <c:v>194</c:v>
                </c:pt>
                <c:pt idx="315">
                  <c:v>295</c:v>
                </c:pt>
                <c:pt idx="316">
                  <c:v>293</c:v>
                </c:pt>
                <c:pt idx="317">
                  <c:v>228</c:v>
                </c:pt>
                <c:pt idx="318">
                  <c:v>211</c:v>
                </c:pt>
                <c:pt idx="319">
                  <c:v>246</c:v>
                </c:pt>
                <c:pt idx="320">
                  <c:v>205</c:v>
                </c:pt>
                <c:pt idx="321">
                  <c:v>268</c:v>
                </c:pt>
                <c:pt idx="322">
                  <c:v>263</c:v>
                </c:pt>
                <c:pt idx="323">
                  <c:v>167</c:v>
                </c:pt>
                <c:pt idx="324">
                  <c:v>218</c:v>
                </c:pt>
                <c:pt idx="325">
                  <c:v>341</c:v>
                </c:pt>
                <c:pt idx="326">
                  <c:v>214</c:v>
                </c:pt>
                <c:pt idx="327">
                  <c:v>278</c:v>
                </c:pt>
                <c:pt idx="328">
                  <c:v>217</c:v>
                </c:pt>
                <c:pt idx="329">
                  <c:v>176</c:v>
                </c:pt>
                <c:pt idx="330">
                  <c:v>272</c:v>
                </c:pt>
                <c:pt idx="331">
                  <c:v>314</c:v>
                </c:pt>
                <c:pt idx="332">
                  <c:v>252</c:v>
                </c:pt>
                <c:pt idx="333">
                  <c:v>239</c:v>
                </c:pt>
                <c:pt idx="334">
                  <c:v>158</c:v>
                </c:pt>
                <c:pt idx="335">
                  <c:v>339</c:v>
                </c:pt>
                <c:pt idx="336">
                  <c:v>322</c:v>
                </c:pt>
                <c:pt idx="337">
                  <c:v>257</c:v>
                </c:pt>
                <c:pt idx="338">
                  <c:v>176</c:v>
                </c:pt>
                <c:pt idx="339">
                  <c:v>291</c:v>
                </c:pt>
                <c:pt idx="340">
                  <c:v>282</c:v>
                </c:pt>
                <c:pt idx="341">
                  <c:v>166</c:v>
                </c:pt>
                <c:pt idx="342">
                  <c:v>229</c:v>
                </c:pt>
                <c:pt idx="343">
                  <c:v>224</c:v>
                </c:pt>
                <c:pt idx="344">
                  <c:v>274</c:v>
                </c:pt>
                <c:pt idx="345">
                  <c:v>230</c:v>
                </c:pt>
                <c:pt idx="346">
                  <c:v>233</c:v>
                </c:pt>
                <c:pt idx="347">
                  <c:v>272</c:v>
                </c:pt>
                <c:pt idx="348">
                  <c:v>253</c:v>
                </c:pt>
                <c:pt idx="349">
                  <c:v>246</c:v>
                </c:pt>
                <c:pt idx="350">
                  <c:v>243</c:v>
                </c:pt>
                <c:pt idx="351">
                  <c:v>201</c:v>
                </c:pt>
                <c:pt idx="352">
                  <c:v>172</c:v>
                </c:pt>
                <c:pt idx="353">
                  <c:v>191</c:v>
                </c:pt>
                <c:pt idx="354">
                  <c:v>197</c:v>
                </c:pt>
                <c:pt idx="355">
                  <c:v>256</c:v>
                </c:pt>
                <c:pt idx="356">
                  <c:v>167</c:v>
                </c:pt>
                <c:pt idx="357">
                  <c:v>159</c:v>
                </c:pt>
                <c:pt idx="358">
                  <c:v>188</c:v>
                </c:pt>
                <c:pt idx="359">
                  <c:v>191</c:v>
                </c:pt>
                <c:pt idx="360">
                  <c:v>233</c:v>
                </c:pt>
                <c:pt idx="361">
                  <c:v>129</c:v>
                </c:pt>
                <c:pt idx="362">
                  <c:v>182</c:v>
                </c:pt>
                <c:pt idx="363">
                  <c:v>201</c:v>
                </c:pt>
                <c:pt idx="364">
                  <c:v>125</c:v>
                </c:pt>
                <c:pt idx="365">
                  <c:v>164</c:v>
                </c:pt>
                <c:pt idx="366">
                  <c:v>158</c:v>
                </c:pt>
                <c:pt idx="367">
                  <c:v>123</c:v>
                </c:pt>
                <c:pt idx="368">
                  <c:v>177</c:v>
                </c:pt>
                <c:pt idx="369">
                  <c:v>205</c:v>
                </c:pt>
                <c:pt idx="370">
                  <c:v>155</c:v>
                </c:pt>
                <c:pt idx="371">
                  <c:v>126</c:v>
                </c:pt>
                <c:pt idx="372">
                  <c:v>166</c:v>
                </c:pt>
                <c:pt idx="373">
                  <c:v>208</c:v>
                </c:pt>
                <c:pt idx="374">
                  <c:v>199</c:v>
                </c:pt>
                <c:pt idx="375">
                  <c:v>219</c:v>
                </c:pt>
                <c:pt idx="376">
                  <c:v>208</c:v>
                </c:pt>
                <c:pt idx="377">
                  <c:v>163</c:v>
                </c:pt>
                <c:pt idx="378">
                  <c:v>212</c:v>
                </c:pt>
                <c:pt idx="379">
                  <c:v>143</c:v>
                </c:pt>
                <c:pt idx="380">
                  <c:v>138</c:v>
                </c:pt>
                <c:pt idx="381">
                  <c:v>200</c:v>
                </c:pt>
                <c:pt idx="382">
                  <c:v>207</c:v>
                </c:pt>
                <c:pt idx="383">
                  <c:v>213</c:v>
                </c:pt>
                <c:pt idx="384">
                  <c:v>140</c:v>
                </c:pt>
                <c:pt idx="385">
                  <c:v>155</c:v>
                </c:pt>
                <c:pt idx="386">
                  <c:v>189</c:v>
                </c:pt>
                <c:pt idx="387">
                  <c:v>191</c:v>
                </c:pt>
                <c:pt idx="388">
                  <c:v>156</c:v>
                </c:pt>
                <c:pt idx="389">
                  <c:v>235</c:v>
                </c:pt>
                <c:pt idx="390">
                  <c:v>162</c:v>
                </c:pt>
                <c:pt idx="391">
                  <c:v>245</c:v>
                </c:pt>
                <c:pt idx="392">
                  <c:v>167</c:v>
                </c:pt>
                <c:pt idx="393">
                  <c:v>205</c:v>
                </c:pt>
                <c:pt idx="394">
                  <c:v>222</c:v>
                </c:pt>
                <c:pt idx="395">
                  <c:v>178</c:v>
                </c:pt>
                <c:pt idx="396">
                  <c:v>188</c:v>
                </c:pt>
                <c:pt idx="397">
                  <c:v>198</c:v>
                </c:pt>
                <c:pt idx="398">
                  <c:v>177</c:v>
                </c:pt>
                <c:pt idx="399">
                  <c:v>219</c:v>
                </c:pt>
                <c:pt idx="400">
                  <c:v>175</c:v>
                </c:pt>
                <c:pt idx="401">
                  <c:v>164</c:v>
                </c:pt>
                <c:pt idx="402">
                  <c:v>190</c:v>
                </c:pt>
                <c:pt idx="403">
                  <c:v>180</c:v>
                </c:pt>
                <c:pt idx="404">
                  <c:v>175</c:v>
                </c:pt>
                <c:pt idx="405">
                  <c:v>210</c:v>
                </c:pt>
                <c:pt idx="406">
                  <c:v>212</c:v>
                </c:pt>
                <c:pt idx="407">
                  <c:v>167</c:v>
                </c:pt>
                <c:pt idx="408">
                  <c:v>160</c:v>
                </c:pt>
                <c:pt idx="409">
                  <c:v>139</c:v>
                </c:pt>
                <c:pt idx="410">
                  <c:v>217</c:v>
                </c:pt>
                <c:pt idx="411">
                  <c:v>169</c:v>
                </c:pt>
                <c:pt idx="412">
                  <c:v>161</c:v>
                </c:pt>
                <c:pt idx="413">
                  <c:v>173</c:v>
                </c:pt>
                <c:pt idx="414">
                  <c:v>172</c:v>
                </c:pt>
                <c:pt idx="415">
                  <c:v>220</c:v>
                </c:pt>
                <c:pt idx="416">
                  <c:v>172</c:v>
                </c:pt>
                <c:pt idx="417">
                  <c:v>153</c:v>
                </c:pt>
                <c:pt idx="418">
                  <c:v>184</c:v>
                </c:pt>
                <c:pt idx="419">
                  <c:v>217</c:v>
                </c:pt>
                <c:pt idx="420">
                  <c:v>230</c:v>
                </c:pt>
                <c:pt idx="421">
                  <c:v>178</c:v>
                </c:pt>
                <c:pt idx="422">
                  <c:v>176</c:v>
                </c:pt>
                <c:pt idx="423">
                  <c:v>166</c:v>
                </c:pt>
                <c:pt idx="424">
                  <c:v>169</c:v>
                </c:pt>
                <c:pt idx="425">
                  <c:v>193</c:v>
                </c:pt>
                <c:pt idx="426">
                  <c:v>192</c:v>
                </c:pt>
                <c:pt idx="427">
                  <c:v>160</c:v>
                </c:pt>
                <c:pt idx="428">
                  <c:v>159</c:v>
                </c:pt>
                <c:pt idx="429">
                  <c:v>150</c:v>
                </c:pt>
                <c:pt idx="430">
                  <c:v>206</c:v>
                </c:pt>
                <c:pt idx="431">
                  <c:v>214</c:v>
                </c:pt>
                <c:pt idx="432">
                  <c:v>213</c:v>
                </c:pt>
                <c:pt idx="433">
                  <c:v>146</c:v>
                </c:pt>
                <c:pt idx="434">
                  <c:v>186</c:v>
                </c:pt>
                <c:pt idx="435">
                  <c:v>158</c:v>
                </c:pt>
                <c:pt idx="436">
                  <c:v>193</c:v>
                </c:pt>
                <c:pt idx="437">
                  <c:v>229</c:v>
                </c:pt>
                <c:pt idx="438">
                  <c:v>178</c:v>
                </c:pt>
                <c:pt idx="439">
                  <c:v>173</c:v>
                </c:pt>
                <c:pt idx="440">
                  <c:v>157</c:v>
                </c:pt>
                <c:pt idx="441">
                  <c:v>157</c:v>
                </c:pt>
                <c:pt idx="442">
                  <c:v>159</c:v>
                </c:pt>
                <c:pt idx="443">
                  <c:v>176</c:v>
                </c:pt>
                <c:pt idx="444">
                  <c:v>192</c:v>
                </c:pt>
                <c:pt idx="445">
                  <c:v>168</c:v>
                </c:pt>
                <c:pt idx="446">
                  <c:v>139</c:v>
                </c:pt>
                <c:pt idx="447">
                  <c:v>175</c:v>
                </c:pt>
                <c:pt idx="448">
                  <c:v>210</c:v>
                </c:pt>
                <c:pt idx="449">
                  <c:v>149</c:v>
                </c:pt>
                <c:pt idx="450">
                  <c:v>163</c:v>
                </c:pt>
                <c:pt idx="451">
                  <c:v>152</c:v>
                </c:pt>
                <c:pt idx="452">
                  <c:v>181</c:v>
                </c:pt>
                <c:pt idx="453">
                  <c:v>173</c:v>
                </c:pt>
                <c:pt idx="454">
                  <c:v>192</c:v>
                </c:pt>
                <c:pt idx="455">
                  <c:v>196</c:v>
                </c:pt>
                <c:pt idx="456">
                  <c:v>214</c:v>
                </c:pt>
                <c:pt idx="457">
                  <c:v>224</c:v>
                </c:pt>
                <c:pt idx="458">
                  <c:v>237</c:v>
                </c:pt>
                <c:pt idx="459">
                  <c:v>187</c:v>
                </c:pt>
                <c:pt idx="460">
                  <c:v>222</c:v>
                </c:pt>
                <c:pt idx="461">
                  <c:v>242</c:v>
                </c:pt>
                <c:pt idx="462">
                  <c:v>160</c:v>
                </c:pt>
                <c:pt idx="463">
                  <c:v>208</c:v>
                </c:pt>
                <c:pt idx="464">
                  <c:v>183</c:v>
                </c:pt>
                <c:pt idx="465">
                  <c:v>152</c:v>
                </c:pt>
                <c:pt idx="466">
                  <c:v>213</c:v>
                </c:pt>
                <c:pt idx="467">
                  <c:v>232</c:v>
                </c:pt>
                <c:pt idx="468">
                  <c:v>286</c:v>
                </c:pt>
                <c:pt idx="469">
                  <c:v>219</c:v>
                </c:pt>
                <c:pt idx="470">
                  <c:v>189</c:v>
                </c:pt>
                <c:pt idx="471">
                  <c:v>247</c:v>
                </c:pt>
                <c:pt idx="472">
                  <c:v>210</c:v>
                </c:pt>
                <c:pt idx="473">
                  <c:v>204</c:v>
                </c:pt>
                <c:pt idx="474">
                  <c:v>236</c:v>
                </c:pt>
                <c:pt idx="475">
                  <c:v>177</c:v>
                </c:pt>
                <c:pt idx="476">
                  <c:v>211</c:v>
                </c:pt>
                <c:pt idx="477">
                  <c:v>193</c:v>
                </c:pt>
                <c:pt idx="478">
                  <c:v>152</c:v>
                </c:pt>
                <c:pt idx="479">
                  <c:v>133</c:v>
                </c:pt>
                <c:pt idx="480">
                  <c:v>139</c:v>
                </c:pt>
                <c:pt idx="481">
                  <c:v>94</c:v>
                </c:pt>
                <c:pt idx="482">
                  <c:v>53</c:v>
                </c:pt>
                <c:pt idx="483">
                  <c:v>64</c:v>
                </c:pt>
                <c:pt idx="484">
                  <c:v>71</c:v>
                </c:pt>
                <c:pt idx="485">
                  <c:v>65</c:v>
                </c:pt>
                <c:pt idx="486">
                  <c:v>82</c:v>
                </c:pt>
                <c:pt idx="487">
                  <c:v>68</c:v>
                </c:pt>
                <c:pt idx="488">
                  <c:v>80</c:v>
                </c:pt>
                <c:pt idx="489">
                  <c:v>102</c:v>
                </c:pt>
                <c:pt idx="490">
                  <c:v>93</c:v>
                </c:pt>
                <c:pt idx="491">
                  <c:v>107</c:v>
                </c:pt>
                <c:pt idx="492">
                  <c:v>131</c:v>
                </c:pt>
                <c:pt idx="493">
                  <c:v>168</c:v>
                </c:pt>
                <c:pt idx="494">
                  <c:v>136</c:v>
                </c:pt>
                <c:pt idx="495">
                  <c:v>117</c:v>
                </c:pt>
                <c:pt idx="496">
                  <c:v>52</c:v>
                </c:pt>
                <c:pt idx="497">
                  <c:v>97</c:v>
                </c:pt>
                <c:pt idx="498">
                  <c:v>11</c:v>
                </c:pt>
                <c:pt idx="499">
                  <c:v>34</c:v>
                </c:pt>
                <c:pt idx="500">
                  <c:v>39</c:v>
                </c:pt>
                <c:pt idx="501">
                  <c:v>39</c:v>
                </c:pt>
                <c:pt idx="502">
                  <c:v>47</c:v>
                </c:pt>
                <c:pt idx="503">
                  <c:v>41</c:v>
                </c:pt>
                <c:pt idx="504">
                  <c:v>11</c:v>
                </c:pt>
                <c:pt idx="505">
                  <c:v>29</c:v>
                </c:pt>
                <c:pt idx="506">
                  <c:v>36</c:v>
                </c:pt>
                <c:pt idx="507">
                  <c:v>27</c:v>
                </c:pt>
                <c:pt idx="508">
                  <c:v>23</c:v>
                </c:pt>
                <c:pt idx="509">
                  <c:v>15</c:v>
                </c:pt>
                <c:pt idx="510">
                  <c:v>12</c:v>
                </c:pt>
                <c:pt idx="511">
                  <c:v>20</c:v>
                </c:pt>
                <c:pt idx="512">
                  <c:v>23</c:v>
                </c:pt>
                <c:pt idx="513">
                  <c:v>14</c:v>
                </c:pt>
                <c:pt idx="514">
                  <c:v>11</c:v>
                </c:pt>
                <c:pt idx="515">
                  <c:v>17</c:v>
                </c:pt>
                <c:pt idx="516">
                  <c:v>15</c:v>
                </c:pt>
                <c:pt idx="517">
                  <c:v>8</c:v>
                </c:pt>
                <c:pt idx="518">
                  <c:v>14</c:v>
                </c:pt>
                <c:pt idx="519">
                  <c:v>7</c:v>
                </c:pt>
                <c:pt idx="520">
                  <c:v>1</c:v>
                </c:pt>
                <c:pt idx="521">
                  <c:v>17</c:v>
                </c:pt>
                <c:pt idx="522">
                  <c:v>4</c:v>
                </c:pt>
                <c:pt idx="523">
                  <c:v>18</c:v>
                </c:pt>
                <c:pt idx="524">
                  <c:v>10</c:v>
                </c:pt>
                <c:pt idx="525">
                  <c:v>4</c:v>
                </c:pt>
                <c:pt idx="526">
                  <c:v>6</c:v>
                </c:pt>
                <c:pt idx="527">
                  <c:v>15</c:v>
                </c:pt>
                <c:pt idx="528">
                  <c:v>8</c:v>
                </c:pt>
                <c:pt idx="529">
                  <c:v>7</c:v>
                </c:pt>
                <c:pt idx="530">
                  <c:v>2</c:v>
                </c:pt>
                <c:pt idx="531">
                  <c:v>9</c:v>
                </c:pt>
                <c:pt idx="532">
                  <c:v>8</c:v>
                </c:pt>
                <c:pt idx="533">
                  <c:v>0</c:v>
                </c:pt>
                <c:pt idx="534">
                  <c:v>6</c:v>
                </c:pt>
                <c:pt idx="535">
                  <c:v>14</c:v>
                </c:pt>
                <c:pt idx="536">
                  <c:v>11</c:v>
                </c:pt>
                <c:pt idx="537">
                  <c:v>9</c:v>
                </c:pt>
                <c:pt idx="538">
                  <c:v>11</c:v>
                </c:pt>
                <c:pt idx="539">
                  <c:v>7</c:v>
                </c:pt>
                <c:pt idx="540">
                  <c:v>15</c:v>
                </c:pt>
                <c:pt idx="541">
                  <c:v>13</c:v>
                </c:pt>
                <c:pt idx="542">
                  <c:v>5</c:v>
                </c:pt>
                <c:pt idx="543">
                  <c:v>8</c:v>
                </c:pt>
                <c:pt idx="544">
                  <c:v>7</c:v>
                </c:pt>
                <c:pt idx="545">
                  <c:v>16</c:v>
                </c:pt>
                <c:pt idx="546">
                  <c:v>18</c:v>
                </c:pt>
                <c:pt idx="547">
                  <c:v>7</c:v>
                </c:pt>
                <c:pt idx="548">
                  <c:v>9</c:v>
                </c:pt>
                <c:pt idx="549">
                  <c:v>12</c:v>
                </c:pt>
                <c:pt idx="550">
                  <c:v>10</c:v>
                </c:pt>
                <c:pt idx="551">
                  <c:v>17</c:v>
                </c:pt>
                <c:pt idx="552">
                  <c:v>8</c:v>
                </c:pt>
                <c:pt idx="553">
                  <c:v>10</c:v>
                </c:pt>
                <c:pt idx="554">
                  <c:v>9</c:v>
                </c:pt>
                <c:pt idx="555">
                  <c:v>12</c:v>
                </c:pt>
                <c:pt idx="556">
                  <c:v>5</c:v>
                </c:pt>
                <c:pt idx="557">
                  <c:v>10</c:v>
                </c:pt>
                <c:pt idx="558">
                  <c:v>6</c:v>
                </c:pt>
                <c:pt idx="559">
                  <c:v>5</c:v>
                </c:pt>
                <c:pt idx="560">
                  <c:v>14</c:v>
                </c:pt>
                <c:pt idx="561">
                  <c:v>4</c:v>
                </c:pt>
                <c:pt idx="562">
                  <c:v>7</c:v>
                </c:pt>
                <c:pt idx="563">
                  <c:v>12</c:v>
                </c:pt>
                <c:pt idx="564">
                  <c:v>12</c:v>
                </c:pt>
                <c:pt idx="565">
                  <c:v>11</c:v>
                </c:pt>
                <c:pt idx="566">
                  <c:v>9</c:v>
                </c:pt>
                <c:pt idx="567">
                  <c:v>14</c:v>
                </c:pt>
                <c:pt idx="568">
                  <c:v>10</c:v>
                </c:pt>
                <c:pt idx="569">
                  <c:v>20</c:v>
                </c:pt>
                <c:pt idx="570">
                  <c:v>16</c:v>
                </c:pt>
                <c:pt idx="571">
                  <c:v>15</c:v>
                </c:pt>
                <c:pt idx="572">
                  <c:v>16</c:v>
                </c:pt>
                <c:pt idx="573">
                  <c:v>12</c:v>
                </c:pt>
                <c:pt idx="574">
                  <c:v>14</c:v>
                </c:pt>
                <c:pt idx="575">
                  <c:v>12</c:v>
                </c:pt>
                <c:pt idx="576">
                  <c:v>14</c:v>
                </c:pt>
                <c:pt idx="577">
                  <c:v>14</c:v>
                </c:pt>
                <c:pt idx="578">
                  <c:v>14</c:v>
                </c:pt>
                <c:pt idx="579">
                  <c:v>17</c:v>
                </c:pt>
                <c:pt idx="580">
                  <c:v>13</c:v>
                </c:pt>
                <c:pt idx="581">
                  <c:v>17</c:v>
                </c:pt>
                <c:pt idx="582">
                  <c:v>7</c:v>
                </c:pt>
                <c:pt idx="583">
                  <c:v>12</c:v>
                </c:pt>
                <c:pt idx="584">
                  <c:v>15</c:v>
                </c:pt>
                <c:pt idx="585">
                  <c:v>16</c:v>
                </c:pt>
                <c:pt idx="586">
                  <c:v>5</c:v>
                </c:pt>
                <c:pt idx="587">
                  <c:v>11</c:v>
                </c:pt>
                <c:pt idx="588">
                  <c:v>9</c:v>
                </c:pt>
                <c:pt idx="589">
                  <c:v>5</c:v>
                </c:pt>
                <c:pt idx="590">
                  <c:v>15</c:v>
                </c:pt>
                <c:pt idx="591">
                  <c:v>14</c:v>
                </c:pt>
                <c:pt idx="592">
                  <c:v>7</c:v>
                </c:pt>
                <c:pt idx="593">
                  <c:v>10</c:v>
                </c:pt>
                <c:pt idx="594">
                  <c:v>7</c:v>
                </c:pt>
                <c:pt idx="595">
                  <c:v>5</c:v>
                </c:pt>
                <c:pt idx="596">
                  <c:v>5</c:v>
                </c:pt>
                <c:pt idx="597">
                  <c:v>5</c:v>
                </c:pt>
                <c:pt idx="598">
                  <c:v>2</c:v>
                </c:pt>
                <c:pt idx="599">
                  <c:v>7</c:v>
                </c:pt>
                <c:pt idx="600">
                  <c:v>7</c:v>
                </c:pt>
                <c:pt idx="601">
                  <c:v>8</c:v>
                </c:pt>
                <c:pt idx="602">
                  <c:v>6</c:v>
                </c:pt>
                <c:pt idx="603">
                  <c:v>9</c:v>
                </c:pt>
                <c:pt idx="604">
                  <c:v>2</c:v>
                </c:pt>
                <c:pt idx="605">
                  <c:v>8</c:v>
                </c:pt>
                <c:pt idx="606">
                  <c:v>8</c:v>
                </c:pt>
                <c:pt idx="607">
                  <c:v>0</c:v>
                </c:pt>
                <c:pt idx="608">
                  <c:v>3</c:v>
                </c:pt>
                <c:pt idx="609">
                  <c:v>4</c:v>
                </c:pt>
                <c:pt idx="610">
                  <c:v>1</c:v>
                </c:pt>
                <c:pt idx="611">
                  <c:v>5</c:v>
                </c:pt>
                <c:pt idx="612">
                  <c:v>0</c:v>
                </c:pt>
                <c:pt idx="613">
                  <c:v>2</c:v>
                </c:pt>
                <c:pt idx="614">
                  <c:v>7</c:v>
                </c:pt>
                <c:pt idx="615">
                  <c:v>3</c:v>
                </c:pt>
                <c:pt idx="616">
                  <c:v>5</c:v>
                </c:pt>
                <c:pt idx="617">
                  <c:v>7</c:v>
                </c:pt>
                <c:pt idx="618">
                  <c:v>2</c:v>
                </c:pt>
                <c:pt idx="619">
                  <c:v>3</c:v>
                </c:pt>
                <c:pt idx="620">
                  <c:v>3</c:v>
                </c:pt>
                <c:pt idx="621">
                  <c:v>4</c:v>
                </c:pt>
                <c:pt idx="622">
                  <c:v>6</c:v>
                </c:pt>
                <c:pt idx="623">
                  <c:v>3</c:v>
                </c:pt>
                <c:pt idx="624">
                  <c:v>11</c:v>
                </c:pt>
                <c:pt idx="625">
                  <c:v>10</c:v>
                </c:pt>
                <c:pt idx="626">
                  <c:v>3</c:v>
                </c:pt>
                <c:pt idx="627">
                  <c:v>6</c:v>
                </c:pt>
                <c:pt idx="628">
                  <c:v>8</c:v>
                </c:pt>
                <c:pt idx="629">
                  <c:v>4</c:v>
                </c:pt>
                <c:pt idx="630">
                  <c:v>9</c:v>
                </c:pt>
                <c:pt idx="631">
                  <c:v>12</c:v>
                </c:pt>
                <c:pt idx="632">
                  <c:v>4</c:v>
                </c:pt>
                <c:pt idx="633">
                  <c:v>2</c:v>
                </c:pt>
                <c:pt idx="634">
                  <c:v>6</c:v>
                </c:pt>
                <c:pt idx="635">
                  <c:v>3</c:v>
                </c:pt>
                <c:pt idx="636">
                  <c:v>10</c:v>
                </c:pt>
                <c:pt idx="637">
                  <c:v>8</c:v>
                </c:pt>
                <c:pt idx="638">
                  <c:v>5</c:v>
                </c:pt>
                <c:pt idx="639">
                  <c:v>8</c:v>
                </c:pt>
                <c:pt idx="640">
                  <c:v>20</c:v>
                </c:pt>
                <c:pt idx="641">
                  <c:v>9</c:v>
                </c:pt>
                <c:pt idx="642">
                  <c:v>6</c:v>
                </c:pt>
                <c:pt idx="643">
                  <c:v>17</c:v>
                </c:pt>
                <c:pt idx="644">
                  <c:v>9</c:v>
                </c:pt>
                <c:pt idx="645">
                  <c:v>11</c:v>
                </c:pt>
                <c:pt idx="646">
                  <c:v>2</c:v>
                </c:pt>
                <c:pt idx="647">
                  <c:v>9</c:v>
                </c:pt>
                <c:pt idx="648">
                  <c:v>5</c:v>
                </c:pt>
                <c:pt idx="649">
                  <c:v>11</c:v>
                </c:pt>
                <c:pt idx="650">
                  <c:v>14</c:v>
                </c:pt>
                <c:pt idx="651">
                  <c:v>29</c:v>
                </c:pt>
                <c:pt idx="652">
                  <c:v>13</c:v>
                </c:pt>
                <c:pt idx="653">
                  <c:v>10</c:v>
                </c:pt>
                <c:pt idx="654">
                  <c:v>17</c:v>
                </c:pt>
                <c:pt idx="655">
                  <c:v>5</c:v>
                </c:pt>
                <c:pt idx="656">
                  <c:v>11</c:v>
                </c:pt>
                <c:pt idx="657">
                  <c:v>13</c:v>
                </c:pt>
                <c:pt idx="658">
                  <c:v>14</c:v>
                </c:pt>
                <c:pt idx="659">
                  <c:v>10</c:v>
                </c:pt>
                <c:pt idx="660">
                  <c:v>12</c:v>
                </c:pt>
                <c:pt idx="661">
                  <c:v>12</c:v>
                </c:pt>
                <c:pt idx="662">
                  <c:v>12</c:v>
                </c:pt>
                <c:pt idx="663">
                  <c:v>12</c:v>
                </c:pt>
                <c:pt idx="664">
                  <c:v>12</c:v>
                </c:pt>
                <c:pt idx="665">
                  <c:v>12</c:v>
                </c:pt>
                <c:pt idx="666">
                  <c:v>15</c:v>
                </c:pt>
                <c:pt idx="667">
                  <c:v>13</c:v>
                </c:pt>
                <c:pt idx="668">
                  <c:v>15</c:v>
                </c:pt>
                <c:pt idx="669">
                  <c:v>4</c:v>
                </c:pt>
                <c:pt idx="670">
                  <c:v>15</c:v>
                </c:pt>
                <c:pt idx="671">
                  <c:v>13</c:v>
                </c:pt>
                <c:pt idx="672">
                  <c:v>7</c:v>
                </c:pt>
                <c:pt idx="673">
                  <c:v>16</c:v>
                </c:pt>
                <c:pt idx="674">
                  <c:v>10</c:v>
                </c:pt>
                <c:pt idx="675">
                  <c:v>15</c:v>
                </c:pt>
                <c:pt idx="676">
                  <c:v>17</c:v>
                </c:pt>
                <c:pt idx="677">
                  <c:v>6</c:v>
                </c:pt>
                <c:pt idx="678">
                  <c:v>17</c:v>
                </c:pt>
                <c:pt idx="679">
                  <c:v>13</c:v>
                </c:pt>
                <c:pt idx="680">
                  <c:v>26</c:v>
                </c:pt>
                <c:pt idx="681">
                  <c:v>12</c:v>
                </c:pt>
                <c:pt idx="682">
                  <c:v>8</c:v>
                </c:pt>
                <c:pt idx="683">
                  <c:v>11</c:v>
                </c:pt>
                <c:pt idx="684">
                  <c:v>4</c:v>
                </c:pt>
                <c:pt idx="685">
                  <c:v>14</c:v>
                </c:pt>
                <c:pt idx="686">
                  <c:v>10</c:v>
                </c:pt>
                <c:pt idx="687">
                  <c:v>5</c:v>
                </c:pt>
                <c:pt idx="688">
                  <c:v>6</c:v>
                </c:pt>
                <c:pt idx="689">
                  <c:v>8</c:v>
                </c:pt>
                <c:pt idx="690">
                  <c:v>9</c:v>
                </c:pt>
                <c:pt idx="691">
                  <c:v>5</c:v>
                </c:pt>
                <c:pt idx="692">
                  <c:v>12</c:v>
                </c:pt>
                <c:pt idx="693">
                  <c:v>20</c:v>
                </c:pt>
                <c:pt idx="694">
                  <c:v>16</c:v>
                </c:pt>
                <c:pt idx="695">
                  <c:v>3</c:v>
                </c:pt>
                <c:pt idx="696">
                  <c:v>6</c:v>
                </c:pt>
                <c:pt idx="697">
                  <c:v>8</c:v>
                </c:pt>
                <c:pt idx="698">
                  <c:v>3</c:v>
                </c:pt>
                <c:pt idx="699">
                  <c:v>8</c:v>
                </c:pt>
                <c:pt idx="700">
                  <c:v>22</c:v>
                </c:pt>
                <c:pt idx="701">
                  <c:v>9</c:v>
                </c:pt>
                <c:pt idx="702">
                  <c:v>14</c:v>
                </c:pt>
                <c:pt idx="703">
                  <c:v>8</c:v>
                </c:pt>
                <c:pt idx="704">
                  <c:v>10</c:v>
                </c:pt>
                <c:pt idx="705">
                  <c:v>4</c:v>
                </c:pt>
                <c:pt idx="706">
                  <c:v>6</c:v>
                </c:pt>
                <c:pt idx="707">
                  <c:v>8</c:v>
                </c:pt>
                <c:pt idx="708">
                  <c:v>7</c:v>
                </c:pt>
                <c:pt idx="709">
                  <c:v>13</c:v>
                </c:pt>
                <c:pt idx="710">
                  <c:v>9</c:v>
                </c:pt>
                <c:pt idx="711">
                  <c:v>7</c:v>
                </c:pt>
                <c:pt idx="712">
                  <c:v>5</c:v>
                </c:pt>
                <c:pt idx="713">
                  <c:v>9</c:v>
                </c:pt>
                <c:pt idx="714">
                  <c:v>4</c:v>
                </c:pt>
                <c:pt idx="715">
                  <c:v>9</c:v>
                </c:pt>
                <c:pt idx="716">
                  <c:v>15</c:v>
                </c:pt>
                <c:pt idx="717">
                  <c:v>11</c:v>
                </c:pt>
                <c:pt idx="718">
                  <c:v>6</c:v>
                </c:pt>
                <c:pt idx="71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22-4215-8548-FF092A569C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9693375"/>
        <c:axId val="459695295"/>
      </c:lineChart>
      <c:dateAx>
        <c:axId val="45969337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695295"/>
        <c:crosses val="autoZero"/>
        <c:auto val="1"/>
        <c:lblOffset val="100"/>
        <c:baseTimeUnit val="days"/>
      </c:dateAx>
      <c:valAx>
        <c:axId val="45969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693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</a:t>
            </a:r>
            <a:r>
              <a:rPr lang="en-US" baseline="0"/>
              <a:t> Children Discharged from HHS Care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Clean_Data!$F$1</c:f>
              <c:strCache>
                <c:ptCount val="1"/>
                <c:pt idx="0">
                  <c:v>Children_Discharged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Clean_Data!$A$2:$A$721</c:f>
              <c:numCache>
                <c:formatCode>m/d/yyyy</c:formatCode>
                <c:ptCount val="720"/>
                <c:pt idx="0">
                  <c:v>44938</c:v>
                </c:pt>
                <c:pt idx="1">
                  <c:v>44948</c:v>
                </c:pt>
                <c:pt idx="2">
                  <c:v>44949</c:v>
                </c:pt>
                <c:pt idx="3">
                  <c:v>44950</c:v>
                </c:pt>
                <c:pt idx="4">
                  <c:v>44951</c:v>
                </c:pt>
                <c:pt idx="5">
                  <c:v>44955</c:v>
                </c:pt>
                <c:pt idx="6">
                  <c:v>44956</c:v>
                </c:pt>
                <c:pt idx="7">
                  <c:v>44957</c:v>
                </c:pt>
                <c:pt idx="8">
                  <c:v>44958</c:v>
                </c:pt>
                <c:pt idx="9">
                  <c:v>44959</c:v>
                </c:pt>
                <c:pt idx="10">
                  <c:v>44962</c:v>
                </c:pt>
                <c:pt idx="11">
                  <c:v>44963</c:v>
                </c:pt>
                <c:pt idx="12">
                  <c:v>44964</c:v>
                </c:pt>
                <c:pt idx="13">
                  <c:v>44965</c:v>
                </c:pt>
                <c:pt idx="14">
                  <c:v>44966</c:v>
                </c:pt>
                <c:pt idx="15">
                  <c:v>44969</c:v>
                </c:pt>
                <c:pt idx="16">
                  <c:v>44970</c:v>
                </c:pt>
                <c:pt idx="17">
                  <c:v>44971</c:v>
                </c:pt>
                <c:pt idx="18">
                  <c:v>44972</c:v>
                </c:pt>
                <c:pt idx="19">
                  <c:v>44973</c:v>
                </c:pt>
                <c:pt idx="20">
                  <c:v>44977</c:v>
                </c:pt>
                <c:pt idx="21">
                  <c:v>44978</c:v>
                </c:pt>
                <c:pt idx="22">
                  <c:v>44979</c:v>
                </c:pt>
                <c:pt idx="23">
                  <c:v>44980</c:v>
                </c:pt>
                <c:pt idx="24">
                  <c:v>44983</c:v>
                </c:pt>
                <c:pt idx="25">
                  <c:v>44984</c:v>
                </c:pt>
                <c:pt idx="26">
                  <c:v>44985</c:v>
                </c:pt>
                <c:pt idx="27">
                  <c:v>44986</c:v>
                </c:pt>
                <c:pt idx="28">
                  <c:v>44987</c:v>
                </c:pt>
                <c:pt idx="29">
                  <c:v>44992</c:v>
                </c:pt>
                <c:pt idx="30">
                  <c:v>44993</c:v>
                </c:pt>
                <c:pt idx="31">
                  <c:v>44994</c:v>
                </c:pt>
                <c:pt idx="32">
                  <c:v>44998</c:v>
                </c:pt>
                <c:pt idx="33">
                  <c:v>44999</c:v>
                </c:pt>
                <c:pt idx="34">
                  <c:v>45000</c:v>
                </c:pt>
                <c:pt idx="35">
                  <c:v>45001</c:v>
                </c:pt>
                <c:pt idx="36">
                  <c:v>45004</c:v>
                </c:pt>
                <c:pt idx="37">
                  <c:v>45005</c:v>
                </c:pt>
                <c:pt idx="38">
                  <c:v>45006</c:v>
                </c:pt>
                <c:pt idx="39">
                  <c:v>45007</c:v>
                </c:pt>
                <c:pt idx="40">
                  <c:v>45008</c:v>
                </c:pt>
                <c:pt idx="41">
                  <c:v>45011</c:v>
                </c:pt>
                <c:pt idx="42">
                  <c:v>45012</c:v>
                </c:pt>
                <c:pt idx="43">
                  <c:v>45013</c:v>
                </c:pt>
                <c:pt idx="44">
                  <c:v>45014</c:v>
                </c:pt>
                <c:pt idx="45">
                  <c:v>45015</c:v>
                </c:pt>
                <c:pt idx="46">
                  <c:v>45018</c:v>
                </c:pt>
                <c:pt idx="47">
                  <c:v>45019</c:v>
                </c:pt>
                <c:pt idx="48">
                  <c:v>45020</c:v>
                </c:pt>
                <c:pt idx="49">
                  <c:v>45021</c:v>
                </c:pt>
                <c:pt idx="50">
                  <c:v>45022</c:v>
                </c:pt>
                <c:pt idx="51">
                  <c:v>45025</c:v>
                </c:pt>
                <c:pt idx="52">
                  <c:v>45026</c:v>
                </c:pt>
                <c:pt idx="53">
                  <c:v>45027</c:v>
                </c:pt>
                <c:pt idx="54">
                  <c:v>45028</c:v>
                </c:pt>
                <c:pt idx="55">
                  <c:v>45029</c:v>
                </c:pt>
                <c:pt idx="56">
                  <c:v>45032</c:v>
                </c:pt>
                <c:pt idx="57">
                  <c:v>45033</c:v>
                </c:pt>
                <c:pt idx="58">
                  <c:v>45034</c:v>
                </c:pt>
                <c:pt idx="59">
                  <c:v>45035</c:v>
                </c:pt>
                <c:pt idx="60">
                  <c:v>45036</c:v>
                </c:pt>
                <c:pt idx="61">
                  <c:v>45039</c:v>
                </c:pt>
                <c:pt idx="62">
                  <c:v>45040</c:v>
                </c:pt>
                <c:pt idx="63">
                  <c:v>45041</c:v>
                </c:pt>
                <c:pt idx="64">
                  <c:v>45042</c:v>
                </c:pt>
                <c:pt idx="65">
                  <c:v>45043</c:v>
                </c:pt>
                <c:pt idx="66">
                  <c:v>45046</c:v>
                </c:pt>
                <c:pt idx="67">
                  <c:v>45047</c:v>
                </c:pt>
                <c:pt idx="68">
                  <c:v>45048</c:v>
                </c:pt>
                <c:pt idx="69">
                  <c:v>45049</c:v>
                </c:pt>
                <c:pt idx="70">
                  <c:v>45050</c:v>
                </c:pt>
                <c:pt idx="71">
                  <c:v>45053</c:v>
                </c:pt>
                <c:pt idx="72">
                  <c:v>45054</c:v>
                </c:pt>
                <c:pt idx="73">
                  <c:v>45055</c:v>
                </c:pt>
                <c:pt idx="74">
                  <c:v>45056</c:v>
                </c:pt>
                <c:pt idx="75">
                  <c:v>45057</c:v>
                </c:pt>
                <c:pt idx="76">
                  <c:v>45060</c:v>
                </c:pt>
                <c:pt idx="77">
                  <c:v>45061</c:v>
                </c:pt>
                <c:pt idx="78">
                  <c:v>45062</c:v>
                </c:pt>
                <c:pt idx="79">
                  <c:v>45063</c:v>
                </c:pt>
                <c:pt idx="80">
                  <c:v>45064</c:v>
                </c:pt>
                <c:pt idx="81">
                  <c:v>45067</c:v>
                </c:pt>
                <c:pt idx="82">
                  <c:v>45068</c:v>
                </c:pt>
                <c:pt idx="83">
                  <c:v>45069</c:v>
                </c:pt>
                <c:pt idx="84">
                  <c:v>45070</c:v>
                </c:pt>
                <c:pt idx="85">
                  <c:v>45071</c:v>
                </c:pt>
                <c:pt idx="86">
                  <c:v>45075</c:v>
                </c:pt>
                <c:pt idx="87">
                  <c:v>45076</c:v>
                </c:pt>
                <c:pt idx="88">
                  <c:v>45077</c:v>
                </c:pt>
                <c:pt idx="89">
                  <c:v>45078</c:v>
                </c:pt>
                <c:pt idx="90">
                  <c:v>45081</c:v>
                </c:pt>
                <c:pt idx="91">
                  <c:v>45082</c:v>
                </c:pt>
                <c:pt idx="92">
                  <c:v>45083</c:v>
                </c:pt>
                <c:pt idx="93">
                  <c:v>45084</c:v>
                </c:pt>
                <c:pt idx="94">
                  <c:v>45085</c:v>
                </c:pt>
                <c:pt idx="95">
                  <c:v>45088</c:v>
                </c:pt>
                <c:pt idx="96">
                  <c:v>45089</c:v>
                </c:pt>
                <c:pt idx="97">
                  <c:v>45090</c:v>
                </c:pt>
                <c:pt idx="98">
                  <c:v>45091</c:v>
                </c:pt>
                <c:pt idx="99">
                  <c:v>45092</c:v>
                </c:pt>
                <c:pt idx="100">
                  <c:v>45096</c:v>
                </c:pt>
                <c:pt idx="101">
                  <c:v>45097</c:v>
                </c:pt>
                <c:pt idx="102">
                  <c:v>45098</c:v>
                </c:pt>
                <c:pt idx="103">
                  <c:v>45099</c:v>
                </c:pt>
                <c:pt idx="104">
                  <c:v>45102</c:v>
                </c:pt>
                <c:pt idx="105">
                  <c:v>45103</c:v>
                </c:pt>
                <c:pt idx="106">
                  <c:v>45104</c:v>
                </c:pt>
                <c:pt idx="107">
                  <c:v>45105</c:v>
                </c:pt>
                <c:pt idx="108">
                  <c:v>45106</c:v>
                </c:pt>
                <c:pt idx="109">
                  <c:v>45109</c:v>
                </c:pt>
                <c:pt idx="110">
                  <c:v>45111</c:v>
                </c:pt>
                <c:pt idx="111">
                  <c:v>45112</c:v>
                </c:pt>
                <c:pt idx="112">
                  <c:v>45113</c:v>
                </c:pt>
                <c:pt idx="113">
                  <c:v>45116</c:v>
                </c:pt>
                <c:pt idx="114">
                  <c:v>45117</c:v>
                </c:pt>
                <c:pt idx="115">
                  <c:v>45118</c:v>
                </c:pt>
                <c:pt idx="116">
                  <c:v>45119</c:v>
                </c:pt>
                <c:pt idx="117">
                  <c:v>45120</c:v>
                </c:pt>
                <c:pt idx="118">
                  <c:v>45123</c:v>
                </c:pt>
                <c:pt idx="119">
                  <c:v>45124</c:v>
                </c:pt>
                <c:pt idx="120">
                  <c:v>45125</c:v>
                </c:pt>
                <c:pt idx="121">
                  <c:v>45126</c:v>
                </c:pt>
                <c:pt idx="122">
                  <c:v>45127</c:v>
                </c:pt>
                <c:pt idx="123">
                  <c:v>45130</c:v>
                </c:pt>
                <c:pt idx="124">
                  <c:v>45131</c:v>
                </c:pt>
                <c:pt idx="125">
                  <c:v>45132</c:v>
                </c:pt>
                <c:pt idx="126">
                  <c:v>45133</c:v>
                </c:pt>
                <c:pt idx="127">
                  <c:v>45134</c:v>
                </c:pt>
                <c:pt idx="128">
                  <c:v>45137</c:v>
                </c:pt>
                <c:pt idx="129">
                  <c:v>45138</c:v>
                </c:pt>
                <c:pt idx="130">
                  <c:v>45139</c:v>
                </c:pt>
                <c:pt idx="131">
                  <c:v>45140</c:v>
                </c:pt>
                <c:pt idx="132">
                  <c:v>45141</c:v>
                </c:pt>
                <c:pt idx="133">
                  <c:v>45144</c:v>
                </c:pt>
                <c:pt idx="134">
                  <c:v>45145</c:v>
                </c:pt>
                <c:pt idx="135">
                  <c:v>45146</c:v>
                </c:pt>
                <c:pt idx="136">
                  <c:v>45147</c:v>
                </c:pt>
                <c:pt idx="137">
                  <c:v>45148</c:v>
                </c:pt>
                <c:pt idx="138">
                  <c:v>45154</c:v>
                </c:pt>
                <c:pt idx="139">
                  <c:v>45155</c:v>
                </c:pt>
                <c:pt idx="140">
                  <c:v>45158</c:v>
                </c:pt>
                <c:pt idx="141">
                  <c:v>45159</c:v>
                </c:pt>
                <c:pt idx="142">
                  <c:v>45160</c:v>
                </c:pt>
                <c:pt idx="143">
                  <c:v>45161</c:v>
                </c:pt>
                <c:pt idx="144">
                  <c:v>45162</c:v>
                </c:pt>
                <c:pt idx="145">
                  <c:v>45165</c:v>
                </c:pt>
                <c:pt idx="146">
                  <c:v>45166</c:v>
                </c:pt>
                <c:pt idx="147">
                  <c:v>45167</c:v>
                </c:pt>
                <c:pt idx="148">
                  <c:v>45168</c:v>
                </c:pt>
                <c:pt idx="149">
                  <c:v>45169</c:v>
                </c:pt>
                <c:pt idx="150">
                  <c:v>45173</c:v>
                </c:pt>
                <c:pt idx="151">
                  <c:v>45174</c:v>
                </c:pt>
                <c:pt idx="152">
                  <c:v>45175</c:v>
                </c:pt>
                <c:pt idx="153">
                  <c:v>45176</c:v>
                </c:pt>
                <c:pt idx="154">
                  <c:v>45179</c:v>
                </c:pt>
                <c:pt idx="155">
                  <c:v>45180</c:v>
                </c:pt>
                <c:pt idx="156">
                  <c:v>45181</c:v>
                </c:pt>
                <c:pt idx="157">
                  <c:v>45182</c:v>
                </c:pt>
                <c:pt idx="158">
                  <c:v>45183</c:v>
                </c:pt>
                <c:pt idx="159">
                  <c:v>45186</c:v>
                </c:pt>
                <c:pt idx="160">
                  <c:v>45187</c:v>
                </c:pt>
                <c:pt idx="161">
                  <c:v>45188</c:v>
                </c:pt>
                <c:pt idx="162">
                  <c:v>45189</c:v>
                </c:pt>
                <c:pt idx="163">
                  <c:v>45190</c:v>
                </c:pt>
                <c:pt idx="164">
                  <c:v>45193</c:v>
                </c:pt>
                <c:pt idx="165">
                  <c:v>45194</c:v>
                </c:pt>
                <c:pt idx="166">
                  <c:v>45195</c:v>
                </c:pt>
                <c:pt idx="167">
                  <c:v>45196</c:v>
                </c:pt>
                <c:pt idx="168">
                  <c:v>45197</c:v>
                </c:pt>
                <c:pt idx="169">
                  <c:v>45200</c:v>
                </c:pt>
                <c:pt idx="170">
                  <c:v>45201</c:v>
                </c:pt>
                <c:pt idx="171">
                  <c:v>45202</c:v>
                </c:pt>
                <c:pt idx="172">
                  <c:v>45203</c:v>
                </c:pt>
                <c:pt idx="173">
                  <c:v>45204</c:v>
                </c:pt>
                <c:pt idx="174">
                  <c:v>45208</c:v>
                </c:pt>
                <c:pt idx="175">
                  <c:v>45209</c:v>
                </c:pt>
                <c:pt idx="176">
                  <c:v>45210</c:v>
                </c:pt>
                <c:pt idx="177">
                  <c:v>45211</c:v>
                </c:pt>
                <c:pt idx="178">
                  <c:v>45214</c:v>
                </c:pt>
                <c:pt idx="179">
                  <c:v>45215</c:v>
                </c:pt>
                <c:pt idx="180">
                  <c:v>45216</c:v>
                </c:pt>
                <c:pt idx="181">
                  <c:v>45217</c:v>
                </c:pt>
                <c:pt idx="182">
                  <c:v>45218</c:v>
                </c:pt>
                <c:pt idx="183">
                  <c:v>45221</c:v>
                </c:pt>
                <c:pt idx="184">
                  <c:v>45222</c:v>
                </c:pt>
                <c:pt idx="185">
                  <c:v>45223</c:v>
                </c:pt>
                <c:pt idx="186">
                  <c:v>45224</c:v>
                </c:pt>
                <c:pt idx="187">
                  <c:v>45225</c:v>
                </c:pt>
                <c:pt idx="188">
                  <c:v>45228</c:v>
                </c:pt>
                <c:pt idx="189">
                  <c:v>45229</c:v>
                </c:pt>
                <c:pt idx="190">
                  <c:v>45230</c:v>
                </c:pt>
                <c:pt idx="191">
                  <c:v>45231</c:v>
                </c:pt>
                <c:pt idx="192">
                  <c:v>45232</c:v>
                </c:pt>
                <c:pt idx="193">
                  <c:v>45235</c:v>
                </c:pt>
                <c:pt idx="194">
                  <c:v>45236</c:v>
                </c:pt>
                <c:pt idx="195">
                  <c:v>45237</c:v>
                </c:pt>
                <c:pt idx="196">
                  <c:v>45238</c:v>
                </c:pt>
                <c:pt idx="197">
                  <c:v>45242</c:v>
                </c:pt>
                <c:pt idx="198">
                  <c:v>45243</c:v>
                </c:pt>
                <c:pt idx="199">
                  <c:v>45244</c:v>
                </c:pt>
                <c:pt idx="200">
                  <c:v>45245</c:v>
                </c:pt>
                <c:pt idx="201">
                  <c:v>45246</c:v>
                </c:pt>
                <c:pt idx="202">
                  <c:v>45249</c:v>
                </c:pt>
                <c:pt idx="203">
                  <c:v>45250</c:v>
                </c:pt>
                <c:pt idx="204">
                  <c:v>45251</c:v>
                </c:pt>
                <c:pt idx="205">
                  <c:v>45253</c:v>
                </c:pt>
                <c:pt idx="206">
                  <c:v>45256</c:v>
                </c:pt>
                <c:pt idx="207">
                  <c:v>45257</c:v>
                </c:pt>
                <c:pt idx="208">
                  <c:v>45258</c:v>
                </c:pt>
                <c:pt idx="209">
                  <c:v>45259</c:v>
                </c:pt>
                <c:pt idx="210">
                  <c:v>45260</c:v>
                </c:pt>
                <c:pt idx="211">
                  <c:v>45263</c:v>
                </c:pt>
                <c:pt idx="212">
                  <c:v>45264</c:v>
                </c:pt>
                <c:pt idx="213">
                  <c:v>45265</c:v>
                </c:pt>
                <c:pt idx="214">
                  <c:v>45266</c:v>
                </c:pt>
                <c:pt idx="215">
                  <c:v>45267</c:v>
                </c:pt>
                <c:pt idx="216">
                  <c:v>45270</c:v>
                </c:pt>
                <c:pt idx="217">
                  <c:v>45271</c:v>
                </c:pt>
                <c:pt idx="218">
                  <c:v>45272</c:v>
                </c:pt>
                <c:pt idx="219">
                  <c:v>45273</c:v>
                </c:pt>
                <c:pt idx="220">
                  <c:v>45274</c:v>
                </c:pt>
                <c:pt idx="221">
                  <c:v>45277</c:v>
                </c:pt>
                <c:pt idx="222">
                  <c:v>45278</c:v>
                </c:pt>
                <c:pt idx="223">
                  <c:v>45279</c:v>
                </c:pt>
                <c:pt idx="224">
                  <c:v>45280</c:v>
                </c:pt>
                <c:pt idx="225">
                  <c:v>45281</c:v>
                </c:pt>
                <c:pt idx="226">
                  <c:v>45285</c:v>
                </c:pt>
                <c:pt idx="227">
                  <c:v>45286</c:v>
                </c:pt>
                <c:pt idx="228">
                  <c:v>45287</c:v>
                </c:pt>
                <c:pt idx="229">
                  <c:v>45288</c:v>
                </c:pt>
                <c:pt idx="230">
                  <c:v>45292</c:v>
                </c:pt>
                <c:pt idx="231">
                  <c:v>45293</c:v>
                </c:pt>
                <c:pt idx="232">
                  <c:v>45294</c:v>
                </c:pt>
                <c:pt idx="233">
                  <c:v>45295</c:v>
                </c:pt>
                <c:pt idx="234">
                  <c:v>45298</c:v>
                </c:pt>
                <c:pt idx="235">
                  <c:v>45299</c:v>
                </c:pt>
                <c:pt idx="236">
                  <c:v>45300</c:v>
                </c:pt>
                <c:pt idx="237">
                  <c:v>45301</c:v>
                </c:pt>
                <c:pt idx="238">
                  <c:v>45302</c:v>
                </c:pt>
                <c:pt idx="239">
                  <c:v>45306</c:v>
                </c:pt>
                <c:pt idx="240">
                  <c:v>45307</c:v>
                </c:pt>
                <c:pt idx="241">
                  <c:v>45308</c:v>
                </c:pt>
                <c:pt idx="242">
                  <c:v>45309</c:v>
                </c:pt>
                <c:pt idx="243">
                  <c:v>45312</c:v>
                </c:pt>
                <c:pt idx="244">
                  <c:v>45313</c:v>
                </c:pt>
                <c:pt idx="245">
                  <c:v>45314</c:v>
                </c:pt>
                <c:pt idx="246">
                  <c:v>45315</c:v>
                </c:pt>
                <c:pt idx="247">
                  <c:v>45316</c:v>
                </c:pt>
                <c:pt idx="248">
                  <c:v>45319</c:v>
                </c:pt>
                <c:pt idx="249">
                  <c:v>45320</c:v>
                </c:pt>
                <c:pt idx="250">
                  <c:v>45321</c:v>
                </c:pt>
                <c:pt idx="251">
                  <c:v>45322</c:v>
                </c:pt>
                <c:pt idx="252">
                  <c:v>45323</c:v>
                </c:pt>
                <c:pt idx="253">
                  <c:v>45326</c:v>
                </c:pt>
                <c:pt idx="254">
                  <c:v>45327</c:v>
                </c:pt>
                <c:pt idx="255">
                  <c:v>45328</c:v>
                </c:pt>
                <c:pt idx="256">
                  <c:v>45329</c:v>
                </c:pt>
                <c:pt idx="257">
                  <c:v>45330</c:v>
                </c:pt>
                <c:pt idx="258">
                  <c:v>45333</c:v>
                </c:pt>
                <c:pt idx="259">
                  <c:v>45334</c:v>
                </c:pt>
                <c:pt idx="260">
                  <c:v>45335</c:v>
                </c:pt>
                <c:pt idx="261">
                  <c:v>45336</c:v>
                </c:pt>
                <c:pt idx="262">
                  <c:v>45337</c:v>
                </c:pt>
                <c:pt idx="263">
                  <c:v>45341</c:v>
                </c:pt>
                <c:pt idx="264">
                  <c:v>45342</c:v>
                </c:pt>
                <c:pt idx="265">
                  <c:v>45343</c:v>
                </c:pt>
                <c:pt idx="266">
                  <c:v>45344</c:v>
                </c:pt>
                <c:pt idx="267">
                  <c:v>45347</c:v>
                </c:pt>
                <c:pt idx="268">
                  <c:v>45348</c:v>
                </c:pt>
                <c:pt idx="269">
                  <c:v>45349</c:v>
                </c:pt>
                <c:pt idx="270">
                  <c:v>45350</c:v>
                </c:pt>
                <c:pt idx="271">
                  <c:v>45351</c:v>
                </c:pt>
                <c:pt idx="272">
                  <c:v>45354</c:v>
                </c:pt>
                <c:pt idx="273">
                  <c:v>45355</c:v>
                </c:pt>
                <c:pt idx="274">
                  <c:v>45356</c:v>
                </c:pt>
                <c:pt idx="275">
                  <c:v>45357</c:v>
                </c:pt>
                <c:pt idx="276">
                  <c:v>45358</c:v>
                </c:pt>
                <c:pt idx="277">
                  <c:v>45361</c:v>
                </c:pt>
                <c:pt idx="278">
                  <c:v>45362</c:v>
                </c:pt>
                <c:pt idx="279">
                  <c:v>45363</c:v>
                </c:pt>
                <c:pt idx="280">
                  <c:v>45364</c:v>
                </c:pt>
                <c:pt idx="281">
                  <c:v>45365</c:v>
                </c:pt>
                <c:pt idx="282">
                  <c:v>45368</c:v>
                </c:pt>
                <c:pt idx="283">
                  <c:v>45369</c:v>
                </c:pt>
                <c:pt idx="284">
                  <c:v>45370</c:v>
                </c:pt>
                <c:pt idx="285">
                  <c:v>45371</c:v>
                </c:pt>
                <c:pt idx="286">
                  <c:v>45372</c:v>
                </c:pt>
                <c:pt idx="287">
                  <c:v>45375</c:v>
                </c:pt>
                <c:pt idx="288">
                  <c:v>45376</c:v>
                </c:pt>
                <c:pt idx="289">
                  <c:v>45377</c:v>
                </c:pt>
                <c:pt idx="290">
                  <c:v>45378</c:v>
                </c:pt>
                <c:pt idx="291">
                  <c:v>45379</c:v>
                </c:pt>
                <c:pt idx="292">
                  <c:v>45382</c:v>
                </c:pt>
                <c:pt idx="293">
                  <c:v>45383</c:v>
                </c:pt>
                <c:pt idx="294">
                  <c:v>45384</c:v>
                </c:pt>
                <c:pt idx="295">
                  <c:v>45385</c:v>
                </c:pt>
                <c:pt idx="296">
                  <c:v>45386</c:v>
                </c:pt>
                <c:pt idx="297">
                  <c:v>45389</c:v>
                </c:pt>
                <c:pt idx="298">
                  <c:v>45390</c:v>
                </c:pt>
                <c:pt idx="299">
                  <c:v>45391</c:v>
                </c:pt>
                <c:pt idx="300">
                  <c:v>45392</c:v>
                </c:pt>
                <c:pt idx="301">
                  <c:v>45393</c:v>
                </c:pt>
                <c:pt idx="302">
                  <c:v>45396</c:v>
                </c:pt>
                <c:pt idx="303">
                  <c:v>45397</c:v>
                </c:pt>
                <c:pt idx="304">
                  <c:v>45398</c:v>
                </c:pt>
                <c:pt idx="305">
                  <c:v>45399</c:v>
                </c:pt>
                <c:pt idx="306">
                  <c:v>45400</c:v>
                </c:pt>
                <c:pt idx="307">
                  <c:v>45403</c:v>
                </c:pt>
                <c:pt idx="308">
                  <c:v>45404</c:v>
                </c:pt>
                <c:pt idx="309">
                  <c:v>45405</c:v>
                </c:pt>
                <c:pt idx="310">
                  <c:v>45406</c:v>
                </c:pt>
                <c:pt idx="311">
                  <c:v>45407</c:v>
                </c:pt>
                <c:pt idx="312">
                  <c:v>45410</c:v>
                </c:pt>
                <c:pt idx="313">
                  <c:v>45411</c:v>
                </c:pt>
                <c:pt idx="314">
                  <c:v>45412</c:v>
                </c:pt>
                <c:pt idx="315">
                  <c:v>45413</c:v>
                </c:pt>
                <c:pt idx="316">
                  <c:v>45414</c:v>
                </c:pt>
                <c:pt idx="317">
                  <c:v>45417</c:v>
                </c:pt>
                <c:pt idx="318">
                  <c:v>45418</c:v>
                </c:pt>
                <c:pt idx="319">
                  <c:v>45419</c:v>
                </c:pt>
                <c:pt idx="320">
                  <c:v>45420</c:v>
                </c:pt>
                <c:pt idx="321">
                  <c:v>45421</c:v>
                </c:pt>
                <c:pt idx="322">
                  <c:v>45424</c:v>
                </c:pt>
                <c:pt idx="323">
                  <c:v>45425</c:v>
                </c:pt>
                <c:pt idx="324">
                  <c:v>45426</c:v>
                </c:pt>
                <c:pt idx="325">
                  <c:v>45427</c:v>
                </c:pt>
                <c:pt idx="326">
                  <c:v>45428</c:v>
                </c:pt>
                <c:pt idx="327">
                  <c:v>45431</c:v>
                </c:pt>
                <c:pt idx="328">
                  <c:v>45432</c:v>
                </c:pt>
                <c:pt idx="329">
                  <c:v>45433</c:v>
                </c:pt>
                <c:pt idx="330">
                  <c:v>45434</c:v>
                </c:pt>
                <c:pt idx="331">
                  <c:v>45435</c:v>
                </c:pt>
                <c:pt idx="332">
                  <c:v>45439</c:v>
                </c:pt>
                <c:pt idx="333">
                  <c:v>45440</c:v>
                </c:pt>
                <c:pt idx="334">
                  <c:v>45441</c:v>
                </c:pt>
                <c:pt idx="335">
                  <c:v>45442</c:v>
                </c:pt>
                <c:pt idx="336">
                  <c:v>45445</c:v>
                </c:pt>
                <c:pt idx="337">
                  <c:v>45446</c:v>
                </c:pt>
                <c:pt idx="338">
                  <c:v>45447</c:v>
                </c:pt>
                <c:pt idx="339">
                  <c:v>45448</c:v>
                </c:pt>
                <c:pt idx="340">
                  <c:v>45449</c:v>
                </c:pt>
                <c:pt idx="341">
                  <c:v>45452</c:v>
                </c:pt>
                <c:pt idx="342">
                  <c:v>45453</c:v>
                </c:pt>
                <c:pt idx="343">
                  <c:v>45454</c:v>
                </c:pt>
                <c:pt idx="344">
                  <c:v>45455</c:v>
                </c:pt>
                <c:pt idx="345">
                  <c:v>45456</c:v>
                </c:pt>
                <c:pt idx="346">
                  <c:v>45459</c:v>
                </c:pt>
                <c:pt idx="347">
                  <c:v>45460</c:v>
                </c:pt>
                <c:pt idx="348">
                  <c:v>45461</c:v>
                </c:pt>
                <c:pt idx="349">
                  <c:v>45462</c:v>
                </c:pt>
                <c:pt idx="350">
                  <c:v>45463</c:v>
                </c:pt>
                <c:pt idx="351">
                  <c:v>45466</c:v>
                </c:pt>
                <c:pt idx="352">
                  <c:v>45467</c:v>
                </c:pt>
                <c:pt idx="353">
                  <c:v>45468</c:v>
                </c:pt>
                <c:pt idx="354">
                  <c:v>45469</c:v>
                </c:pt>
                <c:pt idx="355">
                  <c:v>45470</c:v>
                </c:pt>
                <c:pt idx="356">
                  <c:v>45473</c:v>
                </c:pt>
                <c:pt idx="357">
                  <c:v>45474</c:v>
                </c:pt>
                <c:pt idx="358">
                  <c:v>45475</c:v>
                </c:pt>
                <c:pt idx="359">
                  <c:v>45477</c:v>
                </c:pt>
                <c:pt idx="360">
                  <c:v>45480</c:v>
                </c:pt>
                <c:pt idx="361">
                  <c:v>45481</c:v>
                </c:pt>
                <c:pt idx="362">
                  <c:v>45482</c:v>
                </c:pt>
                <c:pt idx="363">
                  <c:v>45483</c:v>
                </c:pt>
                <c:pt idx="364">
                  <c:v>45484</c:v>
                </c:pt>
                <c:pt idx="365">
                  <c:v>45487</c:v>
                </c:pt>
                <c:pt idx="366">
                  <c:v>45488</c:v>
                </c:pt>
                <c:pt idx="367">
                  <c:v>45489</c:v>
                </c:pt>
                <c:pt idx="368">
                  <c:v>45490</c:v>
                </c:pt>
                <c:pt idx="369">
                  <c:v>45494</c:v>
                </c:pt>
                <c:pt idx="370">
                  <c:v>45495</c:v>
                </c:pt>
                <c:pt idx="371">
                  <c:v>45496</c:v>
                </c:pt>
                <c:pt idx="372">
                  <c:v>45497</c:v>
                </c:pt>
                <c:pt idx="373">
                  <c:v>45498</c:v>
                </c:pt>
                <c:pt idx="374">
                  <c:v>45501</c:v>
                </c:pt>
                <c:pt idx="375">
                  <c:v>45502</c:v>
                </c:pt>
                <c:pt idx="376">
                  <c:v>45503</c:v>
                </c:pt>
                <c:pt idx="377">
                  <c:v>45504</c:v>
                </c:pt>
                <c:pt idx="378">
                  <c:v>45505</c:v>
                </c:pt>
                <c:pt idx="379">
                  <c:v>45508</c:v>
                </c:pt>
                <c:pt idx="380">
                  <c:v>45509</c:v>
                </c:pt>
                <c:pt idx="381">
                  <c:v>45510</c:v>
                </c:pt>
                <c:pt idx="382">
                  <c:v>45511</c:v>
                </c:pt>
                <c:pt idx="383">
                  <c:v>45512</c:v>
                </c:pt>
                <c:pt idx="384">
                  <c:v>45515</c:v>
                </c:pt>
                <c:pt idx="385">
                  <c:v>45516</c:v>
                </c:pt>
                <c:pt idx="386">
                  <c:v>45517</c:v>
                </c:pt>
                <c:pt idx="387">
                  <c:v>45518</c:v>
                </c:pt>
                <c:pt idx="388">
                  <c:v>45519</c:v>
                </c:pt>
                <c:pt idx="389">
                  <c:v>45522</c:v>
                </c:pt>
                <c:pt idx="390">
                  <c:v>45523</c:v>
                </c:pt>
                <c:pt idx="391">
                  <c:v>45524</c:v>
                </c:pt>
                <c:pt idx="392">
                  <c:v>45525</c:v>
                </c:pt>
                <c:pt idx="393">
                  <c:v>45526</c:v>
                </c:pt>
                <c:pt idx="394">
                  <c:v>45531</c:v>
                </c:pt>
                <c:pt idx="395">
                  <c:v>45532</c:v>
                </c:pt>
                <c:pt idx="396">
                  <c:v>45533</c:v>
                </c:pt>
                <c:pt idx="397">
                  <c:v>45537</c:v>
                </c:pt>
                <c:pt idx="398">
                  <c:v>45538</c:v>
                </c:pt>
                <c:pt idx="399">
                  <c:v>45539</c:v>
                </c:pt>
                <c:pt idx="400">
                  <c:v>45540</c:v>
                </c:pt>
                <c:pt idx="401">
                  <c:v>45543</c:v>
                </c:pt>
                <c:pt idx="402">
                  <c:v>45544</c:v>
                </c:pt>
                <c:pt idx="403">
                  <c:v>45545</c:v>
                </c:pt>
                <c:pt idx="404">
                  <c:v>45546</c:v>
                </c:pt>
                <c:pt idx="405">
                  <c:v>45547</c:v>
                </c:pt>
                <c:pt idx="406">
                  <c:v>45548</c:v>
                </c:pt>
                <c:pt idx="407">
                  <c:v>45550</c:v>
                </c:pt>
                <c:pt idx="408">
                  <c:v>45551</c:v>
                </c:pt>
                <c:pt idx="409">
                  <c:v>45552</c:v>
                </c:pt>
                <c:pt idx="410">
                  <c:v>45553</c:v>
                </c:pt>
                <c:pt idx="411">
                  <c:v>45554</c:v>
                </c:pt>
                <c:pt idx="412">
                  <c:v>45557</c:v>
                </c:pt>
                <c:pt idx="413">
                  <c:v>45558</c:v>
                </c:pt>
                <c:pt idx="414">
                  <c:v>45559</c:v>
                </c:pt>
                <c:pt idx="415">
                  <c:v>45560</c:v>
                </c:pt>
                <c:pt idx="416">
                  <c:v>45561</c:v>
                </c:pt>
                <c:pt idx="417">
                  <c:v>45564</c:v>
                </c:pt>
                <c:pt idx="418">
                  <c:v>45565</c:v>
                </c:pt>
                <c:pt idx="419">
                  <c:v>45566</c:v>
                </c:pt>
                <c:pt idx="420">
                  <c:v>45567</c:v>
                </c:pt>
                <c:pt idx="421">
                  <c:v>45568</c:v>
                </c:pt>
                <c:pt idx="422">
                  <c:v>45572</c:v>
                </c:pt>
                <c:pt idx="423">
                  <c:v>45573</c:v>
                </c:pt>
                <c:pt idx="424">
                  <c:v>45574</c:v>
                </c:pt>
                <c:pt idx="425">
                  <c:v>45575</c:v>
                </c:pt>
                <c:pt idx="426">
                  <c:v>45578</c:v>
                </c:pt>
                <c:pt idx="427">
                  <c:v>45579</c:v>
                </c:pt>
                <c:pt idx="428">
                  <c:v>45580</c:v>
                </c:pt>
                <c:pt idx="429">
                  <c:v>45581</c:v>
                </c:pt>
                <c:pt idx="430">
                  <c:v>45582</c:v>
                </c:pt>
                <c:pt idx="431">
                  <c:v>45585</c:v>
                </c:pt>
                <c:pt idx="432">
                  <c:v>45586</c:v>
                </c:pt>
                <c:pt idx="433">
                  <c:v>45587</c:v>
                </c:pt>
                <c:pt idx="434">
                  <c:v>45588</c:v>
                </c:pt>
                <c:pt idx="435">
                  <c:v>45592</c:v>
                </c:pt>
                <c:pt idx="436">
                  <c:v>45593</c:v>
                </c:pt>
                <c:pt idx="437">
                  <c:v>45594</c:v>
                </c:pt>
                <c:pt idx="438">
                  <c:v>45595</c:v>
                </c:pt>
                <c:pt idx="439">
                  <c:v>45596</c:v>
                </c:pt>
                <c:pt idx="440">
                  <c:v>45599</c:v>
                </c:pt>
                <c:pt idx="441">
                  <c:v>45600</c:v>
                </c:pt>
                <c:pt idx="442">
                  <c:v>45601</c:v>
                </c:pt>
                <c:pt idx="443">
                  <c:v>45602</c:v>
                </c:pt>
                <c:pt idx="444">
                  <c:v>45603</c:v>
                </c:pt>
                <c:pt idx="445">
                  <c:v>45607</c:v>
                </c:pt>
                <c:pt idx="446">
                  <c:v>45608</c:v>
                </c:pt>
                <c:pt idx="447">
                  <c:v>45609</c:v>
                </c:pt>
                <c:pt idx="448">
                  <c:v>45610</c:v>
                </c:pt>
                <c:pt idx="449">
                  <c:v>45613</c:v>
                </c:pt>
                <c:pt idx="450">
                  <c:v>45614</c:v>
                </c:pt>
                <c:pt idx="451">
                  <c:v>45615</c:v>
                </c:pt>
                <c:pt idx="452">
                  <c:v>45616</c:v>
                </c:pt>
                <c:pt idx="453">
                  <c:v>45617</c:v>
                </c:pt>
                <c:pt idx="454">
                  <c:v>45620</c:v>
                </c:pt>
                <c:pt idx="455">
                  <c:v>45621</c:v>
                </c:pt>
                <c:pt idx="456">
                  <c:v>45622</c:v>
                </c:pt>
                <c:pt idx="457">
                  <c:v>45623</c:v>
                </c:pt>
                <c:pt idx="458">
                  <c:v>45624</c:v>
                </c:pt>
                <c:pt idx="459">
                  <c:v>45627</c:v>
                </c:pt>
                <c:pt idx="460">
                  <c:v>45628</c:v>
                </c:pt>
                <c:pt idx="461">
                  <c:v>45629</c:v>
                </c:pt>
                <c:pt idx="462">
                  <c:v>45630</c:v>
                </c:pt>
                <c:pt idx="463">
                  <c:v>45631</c:v>
                </c:pt>
                <c:pt idx="464">
                  <c:v>45634</c:v>
                </c:pt>
                <c:pt idx="465">
                  <c:v>45635</c:v>
                </c:pt>
                <c:pt idx="466">
                  <c:v>45636</c:v>
                </c:pt>
                <c:pt idx="467">
                  <c:v>45637</c:v>
                </c:pt>
                <c:pt idx="468">
                  <c:v>45638</c:v>
                </c:pt>
                <c:pt idx="469">
                  <c:v>45641</c:v>
                </c:pt>
                <c:pt idx="470">
                  <c:v>45642</c:v>
                </c:pt>
                <c:pt idx="471">
                  <c:v>45643</c:v>
                </c:pt>
                <c:pt idx="472">
                  <c:v>45644</c:v>
                </c:pt>
                <c:pt idx="473">
                  <c:v>45645</c:v>
                </c:pt>
                <c:pt idx="474">
                  <c:v>45648</c:v>
                </c:pt>
                <c:pt idx="475">
                  <c:v>45649</c:v>
                </c:pt>
                <c:pt idx="476">
                  <c:v>45650</c:v>
                </c:pt>
                <c:pt idx="477">
                  <c:v>45651</c:v>
                </c:pt>
                <c:pt idx="478">
                  <c:v>45652</c:v>
                </c:pt>
                <c:pt idx="479">
                  <c:v>45655</c:v>
                </c:pt>
                <c:pt idx="480">
                  <c:v>45656</c:v>
                </c:pt>
                <c:pt idx="481">
                  <c:v>45658</c:v>
                </c:pt>
                <c:pt idx="482">
                  <c:v>45659</c:v>
                </c:pt>
                <c:pt idx="483">
                  <c:v>45662</c:v>
                </c:pt>
                <c:pt idx="484">
                  <c:v>45663</c:v>
                </c:pt>
                <c:pt idx="485">
                  <c:v>45664</c:v>
                </c:pt>
                <c:pt idx="486">
                  <c:v>45665</c:v>
                </c:pt>
                <c:pt idx="487">
                  <c:v>45666</c:v>
                </c:pt>
                <c:pt idx="488">
                  <c:v>45669</c:v>
                </c:pt>
                <c:pt idx="489">
                  <c:v>45670</c:v>
                </c:pt>
                <c:pt idx="490">
                  <c:v>45671</c:v>
                </c:pt>
                <c:pt idx="491">
                  <c:v>45672</c:v>
                </c:pt>
                <c:pt idx="492">
                  <c:v>45673</c:v>
                </c:pt>
                <c:pt idx="493">
                  <c:v>45676</c:v>
                </c:pt>
                <c:pt idx="494">
                  <c:v>45677</c:v>
                </c:pt>
                <c:pt idx="495">
                  <c:v>45678</c:v>
                </c:pt>
                <c:pt idx="496">
                  <c:v>45679</c:v>
                </c:pt>
                <c:pt idx="497">
                  <c:v>45680</c:v>
                </c:pt>
                <c:pt idx="498">
                  <c:v>45683</c:v>
                </c:pt>
                <c:pt idx="499">
                  <c:v>45684</c:v>
                </c:pt>
                <c:pt idx="500">
                  <c:v>45685</c:v>
                </c:pt>
                <c:pt idx="501">
                  <c:v>45686</c:v>
                </c:pt>
                <c:pt idx="502">
                  <c:v>45687</c:v>
                </c:pt>
                <c:pt idx="503">
                  <c:v>45690</c:v>
                </c:pt>
                <c:pt idx="504">
                  <c:v>45691</c:v>
                </c:pt>
                <c:pt idx="505">
                  <c:v>45692</c:v>
                </c:pt>
                <c:pt idx="506">
                  <c:v>45693</c:v>
                </c:pt>
                <c:pt idx="507">
                  <c:v>45694</c:v>
                </c:pt>
                <c:pt idx="508">
                  <c:v>45697</c:v>
                </c:pt>
                <c:pt idx="509">
                  <c:v>45698</c:v>
                </c:pt>
                <c:pt idx="510">
                  <c:v>45699</c:v>
                </c:pt>
                <c:pt idx="511">
                  <c:v>45700</c:v>
                </c:pt>
                <c:pt idx="512">
                  <c:v>45701</c:v>
                </c:pt>
                <c:pt idx="513">
                  <c:v>45705</c:v>
                </c:pt>
                <c:pt idx="514">
                  <c:v>45706</c:v>
                </c:pt>
                <c:pt idx="515">
                  <c:v>45707</c:v>
                </c:pt>
                <c:pt idx="516">
                  <c:v>45708</c:v>
                </c:pt>
                <c:pt idx="517">
                  <c:v>45711</c:v>
                </c:pt>
                <c:pt idx="518">
                  <c:v>45712</c:v>
                </c:pt>
                <c:pt idx="519">
                  <c:v>45713</c:v>
                </c:pt>
                <c:pt idx="520">
                  <c:v>45714</c:v>
                </c:pt>
                <c:pt idx="521">
                  <c:v>45715</c:v>
                </c:pt>
                <c:pt idx="522">
                  <c:v>45718</c:v>
                </c:pt>
                <c:pt idx="523">
                  <c:v>45719</c:v>
                </c:pt>
                <c:pt idx="524">
                  <c:v>45720</c:v>
                </c:pt>
                <c:pt idx="525">
                  <c:v>45721</c:v>
                </c:pt>
                <c:pt idx="526">
                  <c:v>45722</c:v>
                </c:pt>
                <c:pt idx="527">
                  <c:v>45725</c:v>
                </c:pt>
                <c:pt idx="528">
                  <c:v>45726</c:v>
                </c:pt>
                <c:pt idx="529">
                  <c:v>45727</c:v>
                </c:pt>
                <c:pt idx="530">
                  <c:v>45728</c:v>
                </c:pt>
                <c:pt idx="531">
                  <c:v>45729</c:v>
                </c:pt>
                <c:pt idx="532">
                  <c:v>45732</c:v>
                </c:pt>
                <c:pt idx="533">
                  <c:v>45733</c:v>
                </c:pt>
                <c:pt idx="534">
                  <c:v>45734</c:v>
                </c:pt>
                <c:pt idx="535">
                  <c:v>45735</c:v>
                </c:pt>
                <c:pt idx="536">
                  <c:v>45736</c:v>
                </c:pt>
                <c:pt idx="537">
                  <c:v>45739</c:v>
                </c:pt>
                <c:pt idx="538">
                  <c:v>45740</c:v>
                </c:pt>
                <c:pt idx="539">
                  <c:v>45741</c:v>
                </c:pt>
                <c:pt idx="540">
                  <c:v>45742</c:v>
                </c:pt>
                <c:pt idx="541">
                  <c:v>45743</c:v>
                </c:pt>
                <c:pt idx="542">
                  <c:v>45746</c:v>
                </c:pt>
                <c:pt idx="543">
                  <c:v>45747</c:v>
                </c:pt>
                <c:pt idx="544">
                  <c:v>45748</c:v>
                </c:pt>
                <c:pt idx="545">
                  <c:v>45749</c:v>
                </c:pt>
                <c:pt idx="546">
                  <c:v>45750</c:v>
                </c:pt>
                <c:pt idx="547">
                  <c:v>45753</c:v>
                </c:pt>
                <c:pt idx="548">
                  <c:v>45754</c:v>
                </c:pt>
                <c:pt idx="549">
                  <c:v>45755</c:v>
                </c:pt>
                <c:pt idx="550">
                  <c:v>45756</c:v>
                </c:pt>
                <c:pt idx="551">
                  <c:v>45757</c:v>
                </c:pt>
                <c:pt idx="552">
                  <c:v>45758</c:v>
                </c:pt>
                <c:pt idx="553">
                  <c:v>45760</c:v>
                </c:pt>
                <c:pt idx="554">
                  <c:v>45761</c:v>
                </c:pt>
                <c:pt idx="555">
                  <c:v>45762</c:v>
                </c:pt>
                <c:pt idx="556">
                  <c:v>45763</c:v>
                </c:pt>
                <c:pt idx="557">
                  <c:v>45764</c:v>
                </c:pt>
                <c:pt idx="558">
                  <c:v>45767</c:v>
                </c:pt>
                <c:pt idx="559">
                  <c:v>45768</c:v>
                </c:pt>
                <c:pt idx="560">
                  <c:v>45769</c:v>
                </c:pt>
                <c:pt idx="561">
                  <c:v>45770</c:v>
                </c:pt>
                <c:pt idx="562">
                  <c:v>45771</c:v>
                </c:pt>
                <c:pt idx="563">
                  <c:v>45774</c:v>
                </c:pt>
                <c:pt idx="564">
                  <c:v>45775</c:v>
                </c:pt>
                <c:pt idx="565">
                  <c:v>45776</c:v>
                </c:pt>
                <c:pt idx="566">
                  <c:v>45777</c:v>
                </c:pt>
                <c:pt idx="567">
                  <c:v>45778</c:v>
                </c:pt>
                <c:pt idx="568">
                  <c:v>45781</c:v>
                </c:pt>
                <c:pt idx="569">
                  <c:v>45782</c:v>
                </c:pt>
                <c:pt idx="570">
                  <c:v>45783</c:v>
                </c:pt>
                <c:pt idx="571">
                  <c:v>45784</c:v>
                </c:pt>
                <c:pt idx="572">
                  <c:v>45785</c:v>
                </c:pt>
                <c:pt idx="573">
                  <c:v>45788</c:v>
                </c:pt>
                <c:pt idx="574">
                  <c:v>45789</c:v>
                </c:pt>
                <c:pt idx="575">
                  <c:v>45790</c:v>
                </c:pt>
                <c:pt idx="576">
                  <c:v>45791</c:v>
                </c:pt>
                <c:pt idx="577">
                  <c:v>45792</c:v>
                </c:pt>
                <c:pt idx="578">
                  <c:v>45795</c:v>
                </c:pt>
                <c:pt idx="579">
                  <c:v>45796</c:v>
                </c:pt>
                <c:pt idx="580">
                  <c:v>45798</c:v>
                </c:pt>
                <c:pt idx="581">
                  <c:v>45799</c:v>
                </c:pt>
                <c:pt idx="582">
                  <c:v>45804</c:v>
                </c:pt>
                <c:pt idx="583">
                  <c:v>45805</c:v>
                </c:pt>
                <c:pt idx="584">
                  <c:v>45806</c:v>
                </c:pt>
                <c:pt idx="585">
                  <c:v>45809</c:v>
                </c:pt>
                <c:pt idx="586">
                  <c:v>45810</c:v>
                </c:pt>
                <c:pt idx="587">
                  <c:v>45811</c:v>
                </c:pt>
                <c:pt idx="588">
                  <c:v>45812</c:v>
                </c:pt>
                <c:pt idx="589">
                  <c:v>45813</c:v>
                </c:pt>
                <c:pt idx="590">
                  <c:v>45816</c:v>
                </c:pt>
                <c:pt idx="591">
                  <c:v>45817</c:v>
                </c:pt>
                <c:pt idx="592">
                  <c:v>45818</c:v>
                </c:pt>
                <c:pt idx="593">
                  <c:v>45825</c:v>
                </c:pt>
                <c:pt idx="594">
                  <c:v>45827</c:v>
                </c:pt>
                <c:pt idx="595">
                  <c:v>45830</c:v>
                </c:pt>
                <c:pt idx="596">
                  <c:v>45831</c:v>
                </c:pt>
                <c:pt idx="597">
                  <c:v>45832</c:v>
                </c:pt>
                <c:pt idx="598">
                  <c:v>45833</c:v>
                </c:pt>
                <c:pt idx="599">
                  <c:v>45834</c:v>
                </c:pt>
                <c:pt idx="600">
                  <c:v>45837</c:v>
                </c:pt>
                <c:pt idx="601">
                  <c:v>45838</c:v>
                </c:pt>
                <c:pt idx="602">
                  <c:v>45839</c:v>
                </c:pt>
                <c:pt idx="603">
                  <c:v>45840</c:v>
                </c:pt>
                <c:pt idx="604">
                  <c:v>45844</c:v>
                </c:pt>
                <c:pt idx="605">
                  <c:v>45845</c:v>
                </c:pt>
                <c:pt idx="606">
                  <c:v>45846</c:v>
                </c:pt>
                <c:pt idx="607">
                  <c:v>45847</c:v>
                </c:pt>
                <c:pt idx="608">
                  <c:v>45848</c:v>
                </c:pt>
                <c:pt idx="609">
                  <c:v>45851</c:v>
                </c:pt>
                <c:pt idx="610">
                  <c:v>45852</c:v>
                </c:pt>
                <c:pt idx="611">
                  <c:v>45853</c:v>
                </c:pt>
                <c:pt idx="612">
                  <c:v>45854</c:v>
                </c:pt>
                <c:pt idx="613">
                  <c:v>45855</c:v>
                </c:pt>
                <c:pt idx="614">
                  <c:v>45859</c:v>
                </c:pt>
                <c:pt idx="615">
                  <c:v>45860</c:v>
                </c:pt>
                <c:pt idx="616">
                  <c:v>45861</c:v>
                </c:pt>
                <c:pt idx="617">
                  <c:v>45862</c:v>
                </c:pt>
                <c:pt idx="618">
                  <c:v>45865</c:v>
                </c:pt>
                <c:pt idx="619">
                  <c:v>45866</c:v>
                </c:pt>
                <c:pt idx="620">
                  <c:v>45867</c:v>
                </c:pt>
                <c:pt idx="621">
                  <c:v>45868</c:v>
                </c:pt>
                <c:pt idx="622">
                  <c:v>45869</c:v>
                </c:pt>
                <c:pt idx="623">
                  <c:v>45872</c:v>
                </c:pt>
                <c:pt idx="624">
                  <c:v>45873</c:v>
                </c:pt>
                <c:pt idx="625">
                  <c:v>45874</c:v>
                </c:pt>
                <c:pt idx="626">
                  <c:v>45875</c:v>
                </c:pt>
                <c:pt idx="627">
                  <c:v>45876</c:v>
                </c:pt>
                <c:pt idx="628">
                  <c:v>45879</c:v>
                </c:pt>
                <c:pt idx="629">
                  <c:v>45880</c:v>
                </c:pt>
                <c:pt idx="630">
                  <c:v>45881</c:v>
                </c:pt>
                <c:pt idx="631">
                  <c:v>45882</c:v>
                </c:pt>
                <c:pt idx="632">
                  <c:v>45883</c:v>
                </c:pt>
                <c:pt idx="633">
                  <c:v>45886</c:v>
                </c:pt>
                <c:pt idx="634">
                  <c:v>45887</c:v>
                </c:pt>
                <c:pt idx="635">
                  <c:v>45888</c:v>
                </c:pt>
                <c:pt idx="636">
                  <c:v>45889</c:v>
                </c:pt>
                <c:pt idx="637">
                  <c:v>45890</c:v>
                </c:pt>
                <c:pt idx="638">
                  <c:v>45893</c:v>
                </c:pt>
                <c:pt idx="639">
                  <c:v>45894</c:v>
                </c:pt>
                <c:pt idx="640">
                  <c:v>45895</c:v>
                </c:pt>
                <c:pt idx="641">
                  <c:v>45896</c:v>
                </c:pt>
                <c:pt idx="642">
                  <c:v>45897</c:v>
                </c:pt>
                <c:pt idx="643">
                  <c:v>45901</c:v>
                </c:pt>
                <c:pt idx="644">
                  <c:v>45902</c:v>
                </c:pt>
                <c:pt idx="645">
                  <c:v>45903</c:v>
                </c:pt>
                <c:pt idx="646">
                  <c:v>45904</c:v>
                </c:pt>
                <c:pt idx="647">
                  <c:v>45907</c:v>
                </c:pt>
                <c:pt idx="648">
                  <c:v>45908</c:v>
                </c:pt>
                <c:pt idx="649">
                  <c:v>45909</c:v>
                </c:pt>
                <c:pt idx="650">
                  <c:v>45910</c:v>
                </c:pt>
                <c:pt idx="651">
                  <c:v>45911</c:v>
                </c:pt>
                <c:pt idx="652">
                  <c:v>45914</c:v>
                </c:pt>
                <c:pt idx="653">
                  <c:v>45915</c:v>
                </c:pt>
                <c:pt idx="654">
                  <c:v>45916</c:v>
                </c:pt>
                <c:pt idx="655">
                  <c:v>45917</c:v>
                </c:pt>
                <c:pt idx="656">
                  <c:v>45918</c:v>
                </c:pt>
                <c:pt idx="657">
                  <c:v>45921</c:v>
                </c:pt>
                <c:pt idx="658">
                  <c:v>45922</c:v>
                </c:pt>
                <c:pt idx="659">
                  <c:v>45923</c:v>
                </c:pt>
                <c:pt idx="660">
                  <c:v>45924</c:v>
                </c:pt>
                <c:pt idx="661">
                  <c:v>45925</c:v>
                </c:pt>
                <c:pt idx="662">
                  <c:v>45928</c:v>
                </c:pt>
                <c:pt idx="663">
                  <c:v>45929</c:v>
                </c:pt>
                <c:pt idx="664">
                  <c:v>45930</c:v>
                </c:pt>
                <c:pt idx="665">
                  <c:v>45931</c:v>
                </c:pt>
                <c:pt idx="666">
                  <c:v>45932</c:v>
                </c:pt>
                <c:pt idx="667">
                  <c:v>45935</c:v>
                </c:pt>
                <c:pt idx="668">
                  <c:v>45936</c:v>
                </c:pt>
                <c:pt idx="669">
                  <c:v>45937</c:v>
                </c:pt>
                <c:pt idx="670">
                  <c:v>45938</c:v>
                </c:pt>
                <c:pt idx="671">
                  <c:v>45939</c:v>
                </c:pt>
                <c:pt idx="672">
                  <c:v>45943</c:v>
                </c:pt>
                <c:pt idx="673">
                  <c:v>45944</c:v>
                </c:pt>
                <c:pt idx="674">
                  <c:v>45945</c:v>
                </c:pt>
                <c:pt idx="675">
                  <c:v>45946</c:v>
                </c:pt>
                <c:pt idx="676">
                  <c:v>45949</c:v>
                </c:pt>
                <c:pt idx="677">
                  <c:v>45950</c:v>
                </c:pt>
                <c:pt idx="678">
                  <c:v>45951</c:v>
                </c:pt>
                <c:pt idx="679">
                  <c:v>45952</c:v>
                </c:pt>
                <c:pt idx="680">
                  <c:v>45953</c:v>
                </c:pt>
                <c:pt idx="681">
                  <c:v>45956</c:v>
                </c:pt>
                <c:pt idx="682">
                  <c:v>45957</c:v>
                </c:pt>
                <c:pt idx="683">
                  <c:v>45958</c:v>
                </c:pt>
                <c:pt idx="684">
                  <c:v>45959</c:v>
                </c:pt>
                <c:pt idx="685">
                  <c:v>45960</c:v>
                </c:pt>
                <c:pt idx="686">
                  <c:v>45963</c:v>
                </c:pt>
                <c:pt idx="687">
                  <c:v>45964</c:v>
                </c:pt>
                <c:pt idx="688">
                  <c:v>45965</c:v>
                </c:pt>
                <c:pt idx="689">
                  <c:v>45966</c:v>
                </c:pt>
                <c:pt idx="690">
                  <c:v>45967</c:v>
                </c:pt>
                <c:pt idx="691">
                  <c:v>45970</c:v>
                </c:pt>
                <c:pt idx="692">
                  <c:v>45972</c:v>
                </c:pt>
                <c:pt idx="693">
                  <c:v>45973</c:v>
                </c:pt>
                <c:pt idx="694">
                  <c:v>45974</c:v>
                </c:pt>
                <c:pt idx="695">
                  <c:v>45977</c:v>
                </c:pt>
                <c:pt idx="696">
                  <c:v>45978</c:v>
                </c:pt>
                <c:pt idx="697">
                  <c:v>45979</c:v>
                </c:pt>
                <c:pt idx="698">
                  <c:v>45980</c:v>
                </c:pt>
                <c:pt idx="699">
                  <c:v>45981</c:v>
                </c:pt>
                <c:pt idx="700">
                  <c:v>45984</c:v>
                </c:pt>
                <c:pt idx="701">
                  <c:v>45985</c:v>
                </c:pt>
                <c:pt idx="702">
                  <c:v>45986</c:v>
                </c:pt>
                <c:pt idx="703">
                  <c:v>45988</c:v>
                </c:pt>
                <c:pt idx="704">
                  <c:v>45991</c:v>
                </c:pt>
                <c:pt idx="705">
                  <c:v>45992</c:v>
                </c:pt>
                <c:pt idx="706">
                  <c:v>45993</c:v>
                </c:pt>
                <c:pt idx="707">
                  <c:v>45994</c:v>
                </c:pt>
                <c:pt idx="708">
                  <c:v>45995</c:v>
                </c:pt>
                <c:pt idx="709">
                  <c:v>45998</c:v>
                </c:pt>
                <c:pt idx="710">
                  <c:v>45999</c:v>
                </c:pt>
                <c:pt idx="711">
                  <c:v>46000</c:v>
                </c:pt>
                <c:pt idx="712">
                  <c:v>46001</c:v>
                </c:pt>
                <c:pt idx="713">
                  <c:v>46002</c:v>
                </c:pt>
                <c:pt idx="714">
                  <c:v>46005</c:v>
                </c:pt>
                <c:pt idx="715">
                  <c:v>46006</c:v>
                </c:pt>
                <c:pt idx="716">
                  <c:v>46007</c:v>
                </c:pt>
                <c:pt idx="717">
                  <c:v>46008</c:v>
                </c:pt>
                <c:pt idx="718">
                  <c:v>46009</c:v>
                </c:pt>
                <c:pt idx="719">
                  <c:v>46012</c:v>
                </c:pt>
              </c:numCache>
            </c:numRef>
          </c:cat>
          <c:val>
            <c:numRef>
              <c:f>Clean_Data!$F$2:$F$721</c:f>
              <c:numCache>
                <c:formatCode>General</c:formatCode>
                <c:ptCount val="720"/>
                <c:pt idx="0">
                  <c:v>436</c:v>
                </c:pt>
                <c:pt idx="1">
                  <c:v>227</c:v>
                </c:pt>
                <c:pt idx="2">
                  <c:v>181</c:v>
                </c:pt>
                <c:pt idx="3">
                  <c:v>175</c:v>
                </c:pt>
                <c:pt idx="4">
                  <c:v>180</c:v>
                </c:pt>
                <c:pt idx="5">
                  <c:v>303</c:v>
                </c:pt>
                <c:pt idx="6">
                  <c:v>196</c:v>
                </c:pt>
                <c:pt idx="7">
                  <c:v>158</c:v>
                </c:pt>
                <c:pt idx="8">
                  <c:v>231</c:v>
                </c:pt>
                <c:pt idx="9">
                  <c:v>298</c:v>
                </c:pt>
                <c:pt idx="10">
                  <c:v>342</c:v>
                </c:pt>
                <c:pt idx="11">
                  <c:v>196</c:v>
                </c:pt>
                <c:pt idx="12">
                  <c:v>200</c:v>
                </c:pt>
                <c:pt idx="13">
                  <c:v>317</c:v>
                </c:pt>
                <c:pt idx="14">
                  <c:v>353</c:v>
                </c:pt>
                <c:pt idx="15">
                  <c:v>317</c:v>
                </c:pt>
                <c:pt idx="16">
                  <c:v>244</c:v>
                </c:pt>
                <c:pt idx="17">
                  <c:v>223</c:v>
                </c:pt>
                <c:pt idx="18">
                  <c:v>290</c:v>
                </c:pt>
                <c:pt idx="19">
                  <c:v>361</c:v>
                </c:pt>
                <c:pt idx="20">
                  <c:v>209</c:v>
                </c:pt>
                <c:pt idx="21">
                  <c:v>213</c:v>
                </c:pt>
                <c:pt idx="22">
                  <c:v>232</c:v>
                </c:pt>
                <c:pt idx="23">
                  <c:v>386</c:v>
                </c:pt>
                <c:pt idx="24">
                  <c:v>323</c:v>
                </c:pt>
                <c:pt idx="25">
                  <c:v>248</c:v>
                </c:pt>
                <c:pt idx="26">
                  <c:v>200</c:v>
                </c:pt>
                <c:pt idx="27">
                  <c:v>307</c:v>
                </c:pt>
                <c:pt idx="28">
                  <c:v>335</c:v>
                </c:pt>
                <c:pt idx="29">
                  <c:v>259</c:v>
                </c:pt>
                <c:pt idx="30">
                  <c:v>291</c:v>
                </c:pt>
                <c:pt idx="31">
                  <c:v>340</c:v>
                </c:pt>
                <c:pt idx="32">
                  <c:v>249</c:v>
                </c:pt>
                <c:pt idx="33">
                  <c:v>181</c:v>
                </c:pt>
                <c:pt idx="34">
                  <c:v>286</c:v>
                </c:pt>
                <c:pt idx="35">
                  <c:v>308</c:v>
                </c:pt>
                <c:pt idx="36">
                  <c:v>306</c:v>
                </c:pt>
                <c:pt idx="37">
                  <c:v>279</c:v>
                </c:pt>
                <c:pt idx="38">
                  <c:v>221</c:v>
                </c:pt>
                <c:pt idx="39">
                  <c:v>246</c:v>
                </c:pt>
                <c:pt idx="40">
                  <c:v>331</c:v>
                </c:pt>
                <c:pt idx="41">
                  <c:v>352</c:v>
                </c:pt>
                <c:pt idx="42">
                  <c:v>235</c:v>
                </c:pt>
                <c:pt idx="43">
                  <c:v>223</c:v>
                </c:pt>
                <c:pt idx="44">
                  <c:v>267</c:v>
                </c:pt>
                <c:pt idx="45">
                  <c:v>359</c:v>
                </c:pt>
                <c:pt idx="46">
                  <c:v>304</c:v>
                </c:pt>
                <c:pt idx="47">
                  <c:v>284</c:v>
                </c:pt>
                <c:pt idx="48">
                  <c:v>259</c:v>
                </c:pt>
                <c:pt idx="49">
                  <c:v>260</c:v>
                </c:pt>
                <c:pt idx="50">
                  <c:v>284</c:v>
                </c:pt>
                <c:pt idx="51">
                  <c:v>329</c:v>
                </c:pt>
                <c:pt idx="52">
                  <c:v>265</c:v>
                </c:pt>
                <c:pt idx="53">
                  <c:v>187</c:v>
                </c:pt>
                <c:pt idx="54">
                  <c:v>283</c:v>
                </c:pt>
                <c:pt idx="55">
                  <c:v>370</c:v>
                </c:pt>
                <c:pt idx="56">
                  <c:v>272</c:v>
                </c:pt>
                <c:pt idx="57">
                  <c:v>248</c:v>
                </c:pt>
                <c:pt idx="58">
                  <c:v>234</c:v>
                </c:pt>
                <c:pt idx="59">
                  <c:v>229</c:v>
                </c:pt>
                <c:pt idx="60">
                  <c:v>320</c:v>
                </c:pt>
                <c:pt idx="61">
                  <c:v>266</c:v>
                </c:pt>
                <c:pt idx="62">
                  <c:v>213</c:v>
                </c:pt>
                <c:pt idx="63">
                  <c:v>202</c:v>
                </c:pt>
                <c:pt idx="64">
                  <c:v>256</c:v>
                </c:pt>
                <c:pt idx="65">
                  <c:v>310</c:v>
                </c:pt>
                <c:pt idx="66">
                  <c:v>293</c:v>
                </c:pt>
                <c:pt idx="67">
                  <c:v>237</c:v>
                </c:pt>
                <c:pt idx="68">
                  <c:v>245</c:v>
                </c:pt>
                <c:pt idx="69">
                  <c:v>267</c:v>
                </c:pt>
                <c:pt idx="70">
                  <c:v>332</c:v>
                </c:pt>
                <c:pt idx="71">
                  <c:v>375</c:v>
                </c:pt>
                <c:pt idx="72">
                  <c:v>261</c:v>
                </c:pt>
                <c:pt idx="73">
                  <c:v>250</c:v>
                </c:pt>
                <c:pt idx="74">
                  <c:v>304</c:v>
                </c:pt>
                <c:pt idx="75">
                  <c:v>392</c:v>
                </c:pt>
                <c:pt idx="76">
                  <c:v>288</c:v>
                </c:pt>
                <c:pt idx="77">
                  <c:v>277</c:v>
                </c:pt>
                <c:pt idx="78">
                  <c:v>272</c:v>
                </c:pt>
                <c:pt idx="79">
                  <c:v>307</c:v>
                </c:pt>
                <c:pt idx="80">
                  <c:v>351</c:v>
                </c:pt>
                <c:pt idx="81">
                  <c:v>343</c:v>
                </c:pt>
                <c:pt idx="82">
                  <c:v>240</c:v>
                </c:pt>
                <c:pt idx="83">
                  <c:v>246</c:v>
                </c:pt>
                <c:pt idx="84">
                  <c:v>276</c:v>
                </c:pt>
                <c:pt idx="85">
                  <c:v>408</c:v>
                </c:pt>
                <c:pt idx="86">
                  <c:v>207</c:v>
                </c:pt>
                <c:pt idx="87">
                  <c:v>168</c:v>
                </c:pt>
                <c:pt idx="88">
                  <c:v>210</c:v>
                </c:pt>
                <c:pt idx="89">
                  <c:v>287</c:v>
                </c:pt>
                <c:pt idx="90">
                  <c:v>292</c:v>
                </c:pt>
                <c:pt idx="91">
                  <c:v>189</c:v>
                </c:pt>
                <c:pt idx="92">
                  <c:v>187</c:v>
                </c:pt>
                <c:pt idx="93">
                  <c:v>208</c:v>
                </c:pt>
                <c:pt idx="94">
                  <c:v>255</c:v>
                </c:pt>
                <c:pt idx="95">
                  <c:v>238</c:v>
                </c:pt>
                <c:pt idx="96">
                  <c:v>177</c:v>
                </c:pt>
                <c:pt idx="97">
                  <c:v>146</c:v>
                </c:pt>
                <c:pt idx="98">
                  <c:v>167</c:v>
                </c:pt>
                <c:pt idx="99">
                  <c:v>272</c:v>
                </c:pt>
                <c:pt idx="100">
                  <c:v>142</c:v>
                </c:pt>
                <c:pt idx="101">
                  <c:v>134</c:v>
                </c:pt>
                <c:pt idx="102">
                  <c:v>149</c:v>
                </c:pt>
                <c:pt idx="103">
                  <c:v>207</c:v>
                </c:pt>
                <c:pt idx="104">
                  <c:v>263</c:v>
                </c:pt>
                <c:pt idx="105">
                  <c:v>174</c:v>
                </c:pt>
                <c:pt idx="106">
                  <c:v>155</c:v>
                </c:pt>
                <c:pt idx="107">
                  <c:v>174</c:v>
                </c:pt>
                <c:pt idx="108">
                  <c:v>213</c:v>
                </c:pt>
                <c:pt idx="109">
                  <c:v>309</c:v>
                </c:pt>
                <c:pt idx="110">
                  <c:v>124</c:v>
                </c:pt>
                <c:pt idx="111">
                  <c:v>167</c:v>
                </c:pt>
                <c:pt idx="112">
                  <c:v>205</c:v>
                </c:pt>
                <c:pt idx="113">
                  <c:v>196</c:v>
                </c:pt>
                <c:pt idx="114">
                  <c:v>163</c:v>
                </c:pt>
                <c:pt idx="115">
                  <c:v>143</c:v>
                </c:pt>
                <c:pt idx="116">
                  <c:v>210</c:v>
                </c:pt>
                <c:pt idx="117">
                  <c:v>226</c:v>
                </c:pt>
                <c:pt idx="118">
                  <c:v>218</c:v>
                </c:pt>
                <c:pt idx="119">
                  <c:v>160</c:v>
                </c:pt>
                <c:pt idx="120">
                  <c:v>181</c:v>
                </c:pt>
                <c:pt idx="121">
                  <c:v>226</c:v>
                </c:pt>
                <c:pt idx="122">
                  <c:v>281</c:v>
                </c:pt>
                <c:pt idx="123">
                  <c:v>276</c:v>
                </c:pt>
                <c:pt idx="124">
                  <c:v>187</c:v>
                </c:pt>
                <c:pt idx="125">
                  <c:v>136</c:v>
                </c:pt>
                <c:pt idx="126">
                  <c:v>215</c:v>
                </c:pt>
                <c:pt idx="127">
                  <c:v>259</c:v>
                </c:pt>
                <c:pt idx="128">
                  <c:v>305</c:v>
                </c:pt>
                <c:pt idx="129">
                  <c:v>220</c:v>
                </c:pt>
                <c:pt idx="130">
                  <c:v>168</c:v>
                </c:pt>
                <c:pt idx="131">
                  <c:v>271</c:v>
                </c:pt>
                <c:pt idx="132">
                  <c:v>339</c:v>
                </c:pt>
                <c:pt idx="133">
                  <c:v>322</c:v>
                </c:pt>
                <c:pt idx="134">
                  <c:v>202</c:v>
                </c:pt>
                <c:pt idx="135">
                  <c:v>207</c:v>
                </c:pt>
                <c:pt idx="136">
                  <c:v>251</c:v>
                </c:pt>
                <c:pt idx="137">
                  <c:v>353</c:v>
                </c:pt>
                <c:pt idx="138">
                  <c:v>288</c:v>
                </c:pt>
                <c:pt idx="139">
                  <c:v>407</c:v>
                </c:pt>
                <c:pt idx="140">
                  <c:v>390</c:v>
                </c:pt>
                <c:pt idx="141">
                  <c:v>281</c:v>
                </c:pt>
                <c:pt idx="142">
                  <c:v>230</c:v>
                </c:pt>
                <c:pt idx="143">
                  <c:v>285</c:v>
                </c:pt>
                <c:pt idx="144">
                  <c:v>443</c:v>
                </c:pt>
                <c:pt idx="145">
                  <c:v>488</c:v>
                </c:pt>
                <c:pt idx="146">
                  <c:v>388</c:v>
                </c:pt>
                <c:pt idx="147">
                  <c:v>286</c:v>
                </c:pt>
                <c:pt idx="148">
                  <c:v>366</c:v>
                </c:pt>
                <c:pt idx="149">
                  <c:v>505</c:v>
                </c:pt>
                <c:pt idx="150">
                  <c:v>293</c:v>
                </c:pt>
                <c:pt idx="151">
                  <c:v>243</c:v>
                </c:pt>
                <c:pt idx="152">
                  <c:v>291</c:v>
                </c:pt>
                <c:pt idx="153">
                  <c:v>398</c:v>
                </c:pt>
                <c:pt idx="154">
                  <c:v>382</c:v>
                </c:pt>
                <c:pt idx="155">
                  <c:v>277</c:v>
                </c:pt>
                <c:pt idx="156">
                  <c:v>316</c:v>
                </c:pt>
                <c:pt idx="157">
                  <c:v>343</c:v>
                </c:pt>
                <c:pt idx="158">
                  <c:v>414</c:v>
                </c:pt>
                <c:pt idx="159">
                  <c:v>427</c:v>
                </c:pt>
                <c:pt idx="160">
                  <c:v>313</c:v>
                </c:pt>
                <c:pt idx="161">
                  <c:v>260</c:v>
                </c:pt>
                <c:pt idx="162">
                  <c:v>364</c:v>
                </c:pt>
                <c:pt idx="163">
                  <c:v>428</c:v>
                </c:pt>
                <c:pt idx="164">
                  <c:v>403</c:v>
                </c:pt>
                <c:pt idx="165">
                  <c:v>284</c:v>
                </c:pt>
                <c:pt idx="166">
                  <c:v>332</c:v>
                </c:pt>
                <c:pt idx="167">
                  <c:v>331</c:v>
                </c:pt>
                <c:pt idx="168">
                  <c:v>447</c:v>
                </c:pt>
                <c:pt idx="169">
                  <c:v>493</c:v>
                </c:pt>
                <c:pt idx="170">
                  <c:v>284</c:v>
                </c:pt>
                <c:pt idx="171">
                  <c:v>287</c:v>
                </c:pt>
                <c:pt idx="172">
                  <c:v>330</c:v>
                </c:pt>
                <c:pt idx="173">
                  <c:v>427</c:v>
                </c:pt>
                <c:pt idx="174">
                  <c:v>282</c:v>
                </c:pt>
                <c:pt idx="175">
                  <c:v>257</c:v>
                </c:pt>
                <c:pt idx="176">
                  <c:v>266</c:v>
                </c:pt>
                <c:pt idx="177">
                  <c:v>398</c:v>
                </c:pt>
                <c:pt idx="178">
                  <c:v>434</c:v>
                </c:pt>
                <c:pt idx="179">
                  <c:v>331</c:v>
                </c:pt>
                <c:pt idx="180">
                  <c:v>315</c:v>
                </c:pt>
                <c:pt idx="181">
                  <c:v>393</c:v>
                </c:pt>
                <c:pt idx="182">
                  <c:v>406</c:v>
                </c:pt>
                <c:pt idx="183">
                  <c:v>454</c:v>
                </c:pt>
                <c:pt idx="184">
                  <c:v>327</c:v>
                </c:pt>
                <c:pt idx="185">
                  <c:v>300</c:v>
                </c:pt>
                <c:pt idx="186">
                  <c:v>293</c:v>
                </c:pt>
                <c:pt idx="187">
                  <c:v>390</c:v>
                </c:pt>
                <c:pt idx="188">
                  <c:v>418</c:v>
                </c:pt>
                <c:pt idx="189">
                  <c:v>278</c:v>
                </c:pt>
                <c:pt idx="190">
                  <c:v>295</c:v>
                </c:pt>
                <c:pt idx="191">
                  <c:v>279</c:v>
                </c:pt>
                <c:pt idx="192">
                  <c:v>330</c:v>
                </c:pt>
                <c:pt idx="193">
                  <c:v>370</c:v>
                </c:pt>
                <c:pt idx="194">
                  <c:v>316</c:v>
                </c:pt>
                <c:pt idx="195">
                  <c:v>231</c:v>
                </c:pt>
                <c:pt idx="196">
                  <c:v>310</c:v>
                </c:pt>
                <c:pt idx="197">
                  <c:v>313</c:v>
                </c:pt>
                <c:pt idx="198">
                  <c:v>287</c:v>
                </c:pt>
                <c:pt idx="199">
                  <c:v>247</c:v>
                </c:pt>
                <c:pt idx="200">
                  <c:v>316</c:v>
                </c:pt>
                <c:pt idx="201">
                  <c:v>374</c:v>
                </c:pt>
                <c:pt idx="202">
                  <c:v>435</c:v>
                </c:pt>
                <c:pt idx="203">
                  <c:v>298</c:v>
                </c:pt>
                <c:pt idx="204">
                  <c:v>250</c:v>
                </c:pt>
                <c:pt idx="205">
                  <c:v>283</c:v>
                </c:pt>
                <c:pt idx="206">
                  <c:v>312</c:v>
                </c:pt>
                <c:pt idx="207">
                  <c:v>214</c:v>
                </c:pt>
                <c:pt idx="208">
                  <c:v>223</c:v>
                </c:pt>
                <c:pt idx="209">
                  <c:v>284</c:v>
                </c:pt>
                <c:pt idx="210">
                  <c:v>320</c:v>
                </c:pt>
                <c:pt idx="211">
                  <c:v>417</c:v>
                </c:pt>
                <c:pt idx="212">
                  <c:v>273</c:v>
                </c:pt>
                <c:pt idx="213">
                  <c:v>261</c:v>
                </c:pt>
                <c:pt idx="214">
                  <c:v>376</c:v>
                </c:pt>
                <c:pt idx="215">
                  <c:v>466</c:v>
                </c:pt>
                <c:pt idx="216">
                  <c:v>411</c:v>
                </c:pt>
                <c:pt idx="217">
                  <c:v>304</c:v>
                </c:pt>
                <c:pt idx="218">
                  <c:v>259</c:v>
                </c:pt>
                <c:pt idx="219">
                  <c:v>335</c:v>
                </c:pt>
                <c:pt idx="220">
                  <c:v>396</c:v>
                </c:pt>
                <c:pt idx="221">
                  <c:v>456</c:v>
                </c:pt>
                <c:pt idx="222">
                  <c:v>364</c:v>
                </c:pt>
                <c:pt idx="223">
                  <c:v>272</c:v>
                </c:pt>
                <c:pt idx="224">
                  <c:v>390</c:v>
                </c:pt>
                <c:pt idx="225">
                  <c:v>497</c:v>
                </c:pt>
                <c:pt idx="226">
                  <c:v>347</c:v>
                </c:pt>
                <c:pt idx="227">
                  <c:v>288</c:v>
                </c:pt>
                <c:pt idx="228">
                  <c:v>335</c:v>
                </c:pt>
                <c:pt idx="229">
                  <c:v>357</c:v>
                </c:pt>
                <c:pt idx="230">
                  <c:v>290</c:v>
                </c:pt>
                <c:pt idx="231">
                  <c:v>316</c:v>
                </c:pt>
                <c:pt idx="232">
                  <c:v>263</c:v>
                </c:pt>
                <c:pt idx="233">
                  <c:v>362</c:v>
                </c:pt>
                <c:pt idx="234">
                  <c:v>367</c:v>
                </c:pt>
                <c:pt idx="235">
                  <c:v>367</c:v>
                </c:pt>
                <c:pt idx="236">
                  <c:v>286</c:v>
                </c:pt>
                <c:pt idx="237">
                  <c:v>349</c:v>
                </c:pt>
                <c:pt idx="238">
                  <c:v>476</c:v>
                </c:pt>
                <c:pt idx="239">
                  <c:v>234</c:v>
                </c:pt>
                <c:pt idx="240">
                  <c:v>188</c:v>
                </c:pt>
                <c:pt idx="241">
                  <c:v>353</c:v>
                </c:pt>
                <c:pt idx="242">
                  <c:v>359</c:v>
                </c:pt>
                <c:pt idx="243">
                  <c:v>371</c:v>
                </c:pt>
                <c:pt idx="244">
                  <c:v>222</c:v>
                </c:pt>
                <c:pt idx="245">
                  <c:v>202</c:v>
                </c:pt>
                <c:pt idx="246">
                  <c:v>243</c:v>
                </c:pt>
                <c:pt idx="247">
                  <c:v>293</c:v>
                </c:pt>
                <c:pt idx="248">
                  <c:v>307</c:v>
                </c:pt>
                <c:pt idx="249">
                  <c:v>195</c:v>
                </c:pt>
                <c:pt idx="250">
                  <c:v>187</c:v>
                </c:pt>
                <c:pt idx="251">
                  <c:v>266</c:v>
                </c:pt>
                <c:pt idx="252">
                  <c:v>337</c:v>
                </c:pt>
                <c:pt idx="253">
                  <c:v>342</c:v>
                </c:pt>
                <c:pt idx="254">
                  <c:v>242</c:v>
                </c:pt>
                <c:pt idx="255">
                  <c:v>178</c:v>
                </c:pt>
                <c:pt idx="256">
                  <c:v>222</c:v>
                </c:pt>
                <c:pt idx="257">
                  <c:v>315</c:v>
                </c:pt>
                <c:pt idx="258">
                  <c:v>347</c:v>
                </c:pt>
                <c:pt idx="259">
                  <c:v>234</c:v>
                </c:pt>
                <c:pt idx="260">
                  <c:v>160</c:v>
                </c:pt>
                <c:pt idx="261">
                  <c:v>230</c:v>
                </c:pt>
                <c:pt idx="262">
                  <c:v>312</c:v>
                </c:pt>
                <c:pt idx="263">
                  <c:v>218</c:v>
                </c:pt>
                <c:pt idx="264">
                  <c:v>192</c:v>
                </c:pt>
                <c:pt idx="265">
                  <c:v>231</c:v>
                </c:pt>
                <c:pt idx="266">
                  <c:v>293</c:v>
                </c:pt>
                <c:pt idx="267">
                  <c:v>329</c:v>
                </c:pt>
                <c:pt idx="268">
                  <c:v>329</c:v>
                </c:pt>
                <c:pt idx="269">
                  <c:v>206</c:v>
                </c:pt>
                <c:pt idx="270">
                  <c:v>257</c:v>
                </c:pt>
                <c:pt idx="271">
                  <c:v>299</c:v>
                </c:pt>
                <c:pt idx="272">
                  <c:v>354</c:v>
                </c:pt>
                <c:pt idx="273">
                  <c:v>229</c:v>
                </c:pt>
                <c:pt idx="274">
                  <c:v>214</c:v>
                </c:pt>
                <c:pt idx="275">
                  <c:v>232</c:v>
                </c:pt>
                <c:pt idx="276">
                  <c:v>305</c:v>
                </c:pt>
                <c:pt idx="277">
                  <c:v>373</c:v>
                </c:pt>
                <c:pt idx="278">
                  <c:v>253</c:v>
                </c:pt>
                <c:pt idx="279">
                  <c:v>213</c:v>
                </c:pt>
                <c:pt idx="280">
                  <c:v>239</c:v>
                </c:pt>
                <c:pt idx="281">
                  <c:v>310</c:v>
                </c:pt>
                <c:pt idx="282">
                  <c:v>342</c:v>
                </c:pt>
                <c:pt idx="283">
                  <c:v>283</c:v>
                </c:pt>
                <c:pt idx="284">
                  <c:v>197</c:v>
                </c:pt>
                <c:pt idx="285">
                  <c:v>227</c:v>
                </c:pt>
                <c:pt idx="286">
                  <c:v>235</c:v>
                </c:pt>
                <c:pt idx="287">
                  <c:v>373</c:v>
                </c:pt>
                <c:pt idx="288">
                  <c:v>229</c:v>
                </c:pt>
                <c:pt idx="289">
                  <c:v>208</c:v>
                </c:pt>
                <c:pt idx="290">
                  <c:v>215</c:v>
                </c:pt>
                <c:pt idx="291">
                  <c:v>360</c:v>
                </c:pt>
                <c:pt idx="292">
                  <c:v>287</c:v>
                </c:pt>
                <c:pt idx="293">
                  <c:v>172</c:v>
                </c:pt>
                <c:pt idx="294">
                  <c:v>132</c:v>
                </c:pt>
                <c:pt idx="295">
                  <c:v>163</c:v>
                </c:pt>
                <c:pt idx="296">
                  <c:v>225</c:v>
                </c:pt>
                <c:pt idx="297">
                  <c:v>279</c:v>
                </c:pt>
                <c:pt idx="298">
                  <c:v>199</c:v>
                </c:pt>
                <c:pt idx="299">
                  <c:v>130</c:v>
                </c:pt>
                <c:pt idx="300">
                  <c:v>227</c:v>
                </c:pt>
                <c:pt idx="301">
                  <c:v>285</c:v>
                </c:pt>
                <c:pt idx="302">
                  <c:v>290</c:v>
                </c:pt>
                <c:pt idx="303">
                  <c:v>191</c:v>
                </c:pt>
                <c:pt idx="304">
                  <c:v>163</c:v>
                </c:pt>
                <c:pt idx="305">
                  <c:v>227</c:v>
                </c:pt>
                <c:pt idx="306">
                  <c:v>260</c:v>
                </c:pt>
                <c:pt idx="307">
                  <c:v>240</c:v>
                </c:pt>
                <c:pt idx="308">
                  <c:v>214</c:v>
                </c:pt>
                <c:pt idx="309">
                  <c:v>134</c:v>
                </c:pt>
                <c:pt idx="310">
                  <c:v>154</c:v>
                </c:pt>
                <c:pt idx="311">
                  <c:v>217</c:v>
                </c:pt>
                <c:pt idx="312">
                  <c:v>250</c:v>
                </c:pt>
                <c:pt idx="313">
                  <c:v>187</c:v>
                </c:pt>
                <c:pt idx="314">
                  <c:v>135</c:v>
                </c:pt>
                <c:pt idx="315">
                  <c:v>190</c:v>
                </c:pt>
                <c:pt idx="316">
                  <c:v>194</c:v>
                </c:pt>
                <c:pt idx="317">
                  <c:v>332</c:v>
                </c:pt>
                <c:pt idx="318">
                  <c:v>205</c:v>
                </c:pt>
                <c:pt idx="319">
                  <c:v>163</c:v>
                </c:pt>
                <c:pt idx="320">
                  <c:v>202</c:v>
                </c:pt>
                <c:pt idx="321">
                  <c:v>244</c:v>
                </c:pt>
                <c:pt idx="322">
                  <c:v>245</c:v>
                </c:pt>
                <c:pt idx="323">
                  <c:v>157</c:v>
                </c:pt>
                <c:pt idx="324">
                  <c:v>186</c:v>
                </c:pt>
                <c:pt idx="325">
                  <c:v>265</c:v>
                </c:pt>
                <c:pt idx="326">
                  <c:v>234</c:v>
                </c:pt>
                <c:pt idx="327">
                  <c:v>298</c:v>
                </c:pt>
                <c:pt idx="328">
                  <c:v>192</c:v>
                </c:pt>
                <c:pt idx="329">
                  <c:v>145</c:v>
                </c:pt>
                <c:pt idx="330">
                  <c:v>208</c:v>
                </c:pt>
                <c:pt idx="331">
                  <c:v>227</c:v>
                </c:pt>
                <c:pt idx="332">
                  <c:v>167</c:v>
                </c:pt>
                <c:pt idx="333">
                  <c:v>151</c:v>
                </c:pt>
                <c:pt idx="334">
                  <c:v>141</c:v>
                </c:pt>
                <c:pt idx="335">
                  <c:v>190</c:v>
                </c:pt>
                <c:pt idx="336">
                  <c:v>306</c:v>
                </c:pt>
                <c:pt idx="337">
                  <c:v>224</c:v>
                </c:pt>
                <c:pt idx="338">
                  <c:v>203</c:v>
                </c:pt>
                <c:pt idx="339">
                  <c:v>198</c:v>
                </c:pt>
                <c:pt idx="340">
                  <c:v>238</c:v>
                </c:pt>
                <c:pt idx="341">
                  <c:v>312</c:v>
                </c:pt>
                <c:pt idx="342">
                  <c:v>212</c:v>
                </c:pt>
                <c:pt idx="343">
                  <c:v>156</c:v>
                </c:pt>
                <c:pt idx="344">
                  <c:v>212</c:v>
                </c:pt>
                <c:pt idx="345">
                  <c:v>259</c:v>
                </c:pt>
                <c:pt idx="346">
                  <c:v>294</c:v>
                </c:pt>
                <c:pt idx="347">
                  <c:v>224</c:v>
                </c:pt>
                <c:pt idx="348">
                  <c:v>214</c:v>
                </c:pt>
                <c:pt idx="349">
                  <c:v>198</c:v>
                </c:pt>
                <c:pt idx="350">
                  <c:v>235</c:v>
                </c:pt>
                <c:pt idx="351">
                  <c:v>294</c:v>
                </c:pt>
                <c:pt idx="352">
                  <c:v>202</c:v>
                </c:pt>
                <c:pt idx="353">
                  <c:v>202</c:v>
                </c:pt>
                <c:pt idx="354">
                  <c:v>187</c:v>
                </c:pt>
                <c:pt idx="355">
                  <c:v>268</c:v>
                </c:pt>
                <c:pt idx="356">
                  <c:v>273</c:v>
                </c:pt>
                <c:pt idx="357">
                  <c:v>229</c:v>
                </c:pt>
                <c:pt idx="358">
                  <c:v>184</c:v>
                </c:pt>
                <c:pt idx="359">
                  <c:v>225</c:v>
                </c:pt>
                <c:pt idx="360">
                  <c:v>213</c:v>
                </c:pt>
                <c:pt idx="361">
                  <c:v>123</c:v>
                </c:pt>
                <c:pt idx="362">
                  <c:v>130</c:v>
                </c:pt>
                <c:pt idx="363">
                  <c:v>177</c:v>
                </c:pt>
                <c:pt idx="364">
                  <c:v>197</c:v>
                </c:pt>
                <c:pt idx="365">
                  <c:v>237</c:v>
                </c:pt>
                <c:pt idx="366">
                  <c:v>171</c:v>
                </c:pt>
                <c:pt idx="367">
                  <c:v>173</c:v>
                </c:pt>
                <c:pt idx="368">
                  <c:v>187</c:v>
                </c:pt>
                <c:pt idx="369">
                  <c:v>262</c:v>
                </c:pt>
                <c:pt idx="370">
                  <c:v>234</c:v>
                </c:pt>
                <c:pt idx="371">
                  <c:v>170</c:v>
                </c:pt>
                <c:pt idx="372">
                  <c:v>177</c:v>
                </c:pt>
                <c:pt idx="373">
                  <c:v>194</c:v>
                </c:pt>
                <c:pt idx="374">
                  <c:v>207</c:v>
                </c:pt>
                <c:pt idx="375">
                  <c:v>163</c:v>
                </c:pt>
                <c:pt idx="376">
                  <c:v>92</c:v>
                </c:pt>
                <c:pt idx="377">
                  <c:v>154</c:v>
                </c:pt>
                <c:pt idx="378">
                  <c:v>169</c:v>
                </c:pt>
                <c:pt idx="379">
                  <c:v>170</c:v>
                </c:pt>
                <c:pt idx="380">
                  <c:v>150</c:v>
                </c:pt>
                <c:pt idx="381">
                  <c:v>143</c:v>
                </c:pt>
                <c:pt idx="382">
                  <c:v>174</c:v>
                </c:pt>
                <c:pt idx="383">
                  <c:v>174</c:v>
                </c:pt>
                <c:pt idx="384">
                  <c:v>249</c:v>
                </c:pt>
                <c:pt idx="385">
                  <c:v>148</c:v>
                </c:pt>
                <c:pt idx="386">
                  <c:v>123</c:v>
                </c:pt>
                <c:pt idx="387">
                  <c:v>178</c:v>
                </c:pt>
                <c:pt idx="388">
                  <c:v>220</c:v>
                </c:pt>
                <c:pt idx="389">
                  <c:v>178</c:v>
                </c:pt>
                <c:pt idx="390">
                  <c:v>158</c:v>
                </c:pt>
                <c:pt idx="391">
                  <c:v>112</c:v>
                </c:pt>
                <c:pt idx="392">
                  <c:v>156</c:v>
                </c:pt>
                <c:pt idx="393">
                  <c:v>171</c:v>
                </c:pt>
                <c:pt idx="394">
                  <c:v>97</c:v>
                </c:pt>
                <c:pt idx="395">
                  <c:v>134</c:v>
                </c:pt>
                <c:pt idx="396">
                  <c:v>169</c:v>
                </c:pt>
                <c:pt idx="397">
                  <c:v>129</c:v>
                </c:pt>
                <c:pt idx="398">
                  <c:v>112</c:v>
                </c:pt>
                <c:pt idx="399">
                  <c:v>114</c:v>
                </c:pt>
                <c:pt idx="400">
                  <c:v>121</c:v>
                </c:pt>
                <c:pt idx="401">
                  <c:v>221</c:v>
                </c:pt>
                <c:pt idx="402">
                  <c:v>141</c:v>
                </c:pt>
                <c:pt idx="403">
                  <c:v>148</c:v>
                </c:pt>
                <c:pt idx="404">
                  <c:v>162</c:v>
                </c:pt>
                <c:pt idx="405">
                  <c:v>220</c:v>
                </c:pt>
                <c:pt idx="406">
                  <c:v>279</c:v>
                </c:pt>
                <c:pt idx="407">
                  <c:v>210</c:v>
                </c:pt>
                <c:pt idx="408">
                  <c:v>164</c:v>
                </c:pt>
                <c:pt idx="409">
                  <c:v>160</c:v>
                </c:pt>
                <c:pt idx="410">
                  <c:v>149</c:v>
                </c:pt>
                <c:pt idx="411">
                  <c:v>188</c:v>
                </c:pt>
                <c:pt idx="412">
                  <c:v>197</c:v>
                </c:pt>
                <c:pt idx="413">
                  <c:v>165</c:v>
                </c:pt>
                <c:pt idx="414">
                  <c:v>143</c:v>
                </c:pt>
                <c:pt idx="415">
                  <c:v>169</c:v>
                </c:pt>
                <c:pt idx="416">
                  <c:v>185</c:v>
                </c:pt>
                <c:pt idx="417">
                  <c:v>177</c:v>
                </c:pt>
                <c:pt idx="418">
                  <c:v>138</c:v>
                </c:pt>
                <c:pt idx="419">
                  <c:v>137</c:v>
                </c:pt>
                <c:pt idx="420">
                  <c:v>173</c:v>
                </c:pt>
                <c:pt idx="421">
                  <c:v>193</c:v>
                </c:pt>
                <c:pt idx="422">
                  <c:v>153</c:v>
                </c:pt>
                <c:pt idx="423">
                  <c:v>123</c:v>
                </c:pt>
                <c:pt idx="424">
                  <c:v>137</c:v>
                </c:pt>
                <c:pt idx="425">
                  <c:v>159</c:v>
                </c:pt>
                <c:pt idx="426">
                  <c:v>210</c:v>
                </c:pt>
                <c:pt idx="427">
                  <c:v>106</c:v>
                </c:pt>
                <c:pt idx="428">
                  <c:v>107</c:v>
                </c:pt>
                <c:pt idx="429">
                  <c:v>129</c:v>
                </c:pt>
                <c:pt idx="430">
                  <c:v>160</c:v>
                </c:pt>
                <c:pt idx="431">
                  <c:v>195</c:v>
                </c:pt>
                <c:pt idx="432">
                  <c:v>154</c:v>
                </c:pt>
                <c:pt idx="433">
                  <c:v>109</c:v>
                </c:pt>
                <c:pt idx="434">
                  <c:v>138</c:v>
                </c:pt>
                <c:pt idx="435">
                  <c:v>192</c:v>
                </c:pt>
                <c:pt idx="436">
                  <c:v>156</c:v>
                </c:pt>
                <c:pt idx="437">
                  <c:v>126</c:v>
                </c:pt>
                <c:pt idx="438">
                  <c:v>160</c:v>
                </c:pt>
                <c:pt idx="439">
                  <c:v>177</c:v>
                </c:pt>
                <c:pt idx="440">
                  <c:v>184</c:v>
                </c:pt>
                <c:pt idx="441">
                  <c:v>132</c:v>
                </c:pt>
                <c:pt idx="442">
                  <c:v>126</c:v>
                </c:pt>
                <c:pt idx="443">
                  <c:v>137</c:v>
                </c:pt>
                <c:pt idx="444">
                  <c:v>177</c:v>
                </c:pt>
                <c:pt idx="445">
                  <c:v>145</c:v>
                </c:pt>
                <c:pt idx="446">
                  <c:v>138</c:v>
                </c:pt>
                <c:pt idx="447">
                  <c:v>151</c:v>
                </c:pt>
                <c:pt idx="448">
                  <c:v>172</c:v>
                </c:pt>
                <c:pt idx="449">
                  <c:v>195</c:v>
                </c:pt>
                <c:pt idx="450">
                  <c:v>138</c:v>
                </c:pt>
                <c:pt idx="451">
                  <c:v>146</c:v>
                </c:pt>
                <c:pt idx="452">
                  <c:v>148</c:v>
                </c:pt>
                <c:pt idx="453">
                  <c:v>210</c:v>
                </c:pt>
                <c:pt idx="454">
                  <c:v>207</c:v>
                </c:pt>
                <c:pt idx="455">
                  <c:v>129</c:v>
                </c:pt>
                <c:pt idx="456">
                  <c:v>112</c:v>
                </c:pt>
                <c:pt idx="457">
                  <c:v>211</c:v>
                </c:pt>
                <c:pt idx="458">
                  <c:v>143</c:v>
                </c:pt>
                <c:pt idx="459">
                  <c:v>149</c:v>
                </c:pt>
                <c:pt idx="460">
                  <c:v>115</c:v>
                </c:pt>
                <c:pt idx="461">
                  <c:v>107</c:v>
                </c:pt>
                <c:pt idx="462">
                  <c:v>115</c:v>
                </c:pt>
                <c:pt idx="463">
                  <c:v>150</c:v>
                </c:pt>
                <c:pt idx="464">
                  <c:v>172</c:v>
                </c:pt>
                <c:pt idx="465">
                  <c:v>174</c:v>
                </c:pt>
                <c:pt idx="466">
                  <c:v>149</c:v>
                </c:pt>
                <c:pt idx="467">
                  <c:v>152</c:v>
                </c:pt>
                <c:pt idx="468">
                  <c:v>194</c:v>
                </c:pt>
                <c:pt idx="469">
                  <c:v>224</c:v>
                </c:pt>
                <c:pt idx="470">
                  <c:v>149</c:v>
                </c:pt>
                <c:pt idx="471">
                  <c:v>151</c:v>
                </c:pt>
                <c:pt idx="472">
                  <c:v>134</c:v>
                </c:pt>
                <c:pt idx="473">
                  <c:v>238</c:v>
                </c:pt>
                <c:pt idx="474">
                  <c:v>268</c:v>
                </c:pt>
                <c:pt idx="475">
                  <c:v>231</c:v>
                </c:pt>
                <c:pt idx="476">
                  <c:v>155</c:v>
                </c:pt>
                <c:pt idx="477">
                  <c:v>107</c:v>
                </c:pt>
                <c:pt idx="478">
                  <c:v>135</c:v>
                </c:pt>
                <c:pt idx="479">
                  <c:v>216</c:v>
                </c:pt>
                <c:pt idx="480">
                  <c:v>177</c:v>
                </c:pt>
                <c:pt idx="481">
                  <c:v>144</c:v>
                </c:pt>
                <c:pt idx="482">
                  <c:v>170</c:v>
                </c:pt>
                <c:pt idx="483">
                  <c:v>185</c:v>
                </c:pt>
                <c:pt idx="484">
                  <c:v>190</c:v>
                </c:pt>
                <c:pt idx="485">
                  <c:v>133</c:v>
                </c:pt>
                <c:pt idx="486">
                  <c:v>184</c:v>
                </c:pt>
                <c:pt idx="487">
                  <c:v>164</c:v>
                </c:pt>
                <c:pt idx="488">
                  <c:v>235</c:v>
                </c:pt>
                <c:pt idx="489">
                  <c:v>181</c:v>
                </c:pt>
                <c:pt idx="490">
                  <c:v>139</c:v>
                </c:pt>
                <c:pt idx="491">
                  <c:v>164</c:v>
                </c:pt>
                <c:pt idx="492">
                  <c:v>159</c:v>
                </c:pt>
                <c:pt idx="493">
                  <c:v>176</c:v>
                </c:pt>
                <c:pt idx="494">
                  <c:v>127</c:v>
                </c:pt>
                <c:pt idx="495">
                  <c:v>54</c:v>
                </c:pt>
                <c:pt idx="496">
                  <c:v>83</c:v>
                </c:pt>
                <c:pt idx="497">
                  <c:v>174</c:v>
                </c:pt>
                <c:pt idx="498">
                  <c:v>182</c:v>
                </c:pt>
                <c:pt idx="499">
                  <c:v>127</c:v>
                </c:pt>
                <c:pt idx="500">
                  <c:v>101</c:v>
                </c:pt>
                <c:pt idx="501">
                  <c:v>99</c:v>
                </c:pt>
                <c:pt idx="502">
                  <c:v>159</c:v>
                </c:pt>
                <c:pt idx="503">
                  <c:v>168</c:v>
                </c:pt>
                <c:pt idx="504">
                  <c:v>102</c:v>
                </c:pt>
                <c:pt idx="505">
                  <c:v>74</c:v>
                </c:pt>
                <c:pt idx="506">
                  <c:v>104</c:v>
                </c:pt>
                <c:pt idx="507">
                  <c:v>145</c:v>
                </c:pt>
                <c:pt idx="508">
                  <c:v>99</c:v>
                </c:pt>
                <c:pt idx="509">
                  <c:v>63</c:v>
                </c:pt>
                <c:pt idx="510">
                  <c:v>50</c:v>
                </c:pt>
                <c:pt idx="511">
                  <c:v>66</c:v>
                </c:pt>
                <c:pt idx="512">
                  <c:v>72</c:v>
                </c:pt>
                <c:pt idx="513">
                  <c:v>15</c:v>
                </c:pt>
                <c:pt idx="514">
                  <c:v>9</c:v>
                </c:pt>
                <c:pt idx="515">
                  <c:v>19</c:v>
                </c:pt>
                <c:pt idx="516">
                  <c:v>32</c:v>
                </c:pt>
                <c:pt idx="517">
                  <c:v>35</c:v>
                </c:pt>
                <c:pt idx="518">
                  <c:v>24</c:v>
                </c:pt>
                <c:pt idx="519">
                  <c:v>23</c:v>
                </c:pt>
                <c:pt idx="520">
                  <c:v>23</c:v>
                </c:pt>
                <c:pt idx="521">
                  <c:v>37</c:v>
                </c:pt>
                <c:pt idx="522">
                  <c:v>31</c:v>
                </c:pt>
                <c:pt idx="523">
                  <c:v>25</c:v>
                </c:pt>
                <c:pt idx="524">
                  <c:v>30</c:v>
                </c:pt>
                <c:pt idx="525">
                  <c:v>40</c:v>
                </c:pt>
                <c:pt idx="526">
                  <c:v>33</c:v>
                </c:pt>
                <c:pt idx="527">
                  <c:v>30</c:v>
                </c:pt>
                <c:pt idx="528">
                  <c:v>23</c:v>
                </c:pt>
                <c:pt idx="529">
                  <c:v>20</c:v>
                </c:pt>
                <c:pt idx="530">
                  <c:v>8</c:v>
                </c:pt>
                <c:pt idx="531">
                  <c:v>6</c:v>
                </c:pt>
                <c:pt idx="532">
                  <c:v>5</c:v>
                </c:pt>
                <c:pt idx="533">
                  <c:v>8</c:v>
                </c:pt>
                <c:pt idx="534">
                  <c:v>8</c:v>
                </c:pt>
                <c:pt idx="535">
                  <c:v>9</c:v>
                </c:pt>
                <c:pt idx="536">
                  <c:v>7</c:v>
                </c:pt>
                <c:pt idx="537">
                  <c:v>2</c:v>
                </c:pt>
                <c:pt idx="538">
                  <c:v>7</c:v>
                </c:pt>
                <c:pt idx="539">
                  <c:v>6</c:v>
                </c:pt>
                <c:pt idx="540">
                  <c:v>2</c:v>
                </c:pt>
                <c:pt idx="541">
                  <c:v>2</c:v>
                </c:pt>
                <c:pt idx="542">
                  <c:v>2</c:v>
                </c:pt>
                <c:pt idx="543">
                  <c:v>5</c:v>
                </c:pt>
                <c:pt idx="544">
                  <c:v>12</c:v>
                </c:pt>
                <c:pt idx="545">
                  <c:v>3</c:v>
                </c:pt>
                <c:pt idx="546">
                  <c:v>8</c:v>
                </c:pt>
                <c:pt idx="547">
                  <c:v>11</c:v>
                </c:pt>
                <c:pt idx="548">
                  <c:v>5</c:v>
                </c:pt>
                <c:pt idx="549">
                  <c:v>9</c:v>
                </c:pt>
                <c:pt idx="550">
                  <c:v>5</c:v>
                </c:pt>
                <c:pt idx="551">
                  <c:v>6</c:v>
                </c:pt>
                <c:pt idx="552">
                  <c:v>9</c:v>
                </c:pt>
                <c:pt idx="553">
                  <c:v>3</c:v>
                </c:pt>
                <c:pt idx="554">
                  <c:v>13</c:v>
                </c:pt>
                <c:pt idx="555">
                  <c:v>7</c:v>
                </c:pt>
                <c:pt idx="556">
                  <c:v>8</c:v>
                </c:pt>
                <c:pt idx="557">
                  <c:v>14</c:v>
                </c:pt>
                <c:pt idx="558">
                  <c:v>4</c:v>
                </c:pt>
                <c:pt idx="559">
                  <c:v>6</c:v>
                </c:pt>
                <c:pt idx="560">
                  <c:v>17</c:v>
                </c:pt>
                <c:pt idx="561">
                  <c:v>11</c:v>
                </c:pt>
                <c:pt idx="562">
                  <c:v>13</c:v>
                </c:pt>
                <c:pt idx="563">
                  <c:v>4</c:v>
                </c:pt>
                <c:pt idx="564">
                  <c:v>8</c:v>
                </c:pt>
                <c:pt idx="565">
                  <c:v>15</c:v>
                </c:pt>
                <c:pt idx="566">
                  <c:v>12</c:v>
                </c:pt>
                <c:pt idx="567">
                  <c:v>16</c:v>
                </c:pt>
                <c:pt idx="568">
                  <c:v>5</c:v>
                </c:pt>
                <c:pt idx="569">
                  <c:v>17</c:v>
                </c:pt>
                <c:pt idx="570">
                  <c:v>16</c:v>
                </c:pt>
                <c:pt idx="571">
                  <c:v>10</c:v>
                </c:pt>
                <c:pt idx="572">
                  <c:v>11</c:v>
                </c:pt>
                <c:pt idx="573">
                  <c:v>3</c:v>
                </c:pt>
                <c:pt idx="574">
                  <c:v>7</c:v>
                </c:pt>
                <c:pt idx="575">
                  <c:v>11</c:v>
                </c:pt>
                <c:pt idx="576">
                  <c:v>11</c:v>
                </c:pt>
                <c:pt idx="577">
                  <c:v>14</c:v>
                </c:pt>
                <c:pt idx="578">
                  <c:v>9</c:v>
                </c:pt>
                <c:pt idx="579">
                  <c:v>6</c:v>
                </c:pt>
                <c:pt idx="580">
                  <c:v>18</c:v>
                </c:pt>
                <c:pt idx="581">
                  <c:v>15</c:v>
                </c:pt>
                <c:pt idx="582">
                  <c:v>11</c:v>
                </c:pt>
                <c:pt idx="583">
                  <c:v>14</c:v>
                </c:pt>
                <c:pt idx="584">
                  <c:v>11</c:v>
                </c:pt>
                <c:pt idx="585">
                  <c:v>12</c:v>
                </c:pt>
                <c:pt idx="586">
                  <c:v>16</c:v>
                </c:pt>
                <c:pt idx="587">
                  <c:v>15</c:v>
                </c:pt>
                <c:pt idx="588">
                  <c:v>16</c:v>
                </c:pt>
                <c:pt idx="589">
                  <c:v>21</c:v>
                </c:pt>
                <c:pt idx="590">
                  <c:v>13</c:v>
                </c:pt>
                <c:pt idx="591">
                  <c:v>9</c:v>
                </c:pt>
                <c:pt idx="592">
                  <c:v>12</c:v>
                </c:pt>
                <c:pt idx="593">
                  <c:v>14</c:v>
                </c:pt>
                <c:pt idx="594">
                  <c:v>18</c:v>
                </c:pt>
                <c:pt idx="595">
                  <c:v>7</c:v>
                </c:pt>
                <c:pt idx="596">
                  <c:v>17</c:v>
                </c:pt>
                <c:pt idx="597">
                  <c:v>16</c:v>
                </c:pt>
                <c:pt idx="598">
                  <c:v>24</c:v>
                </c:pt>
                <c:pt idx="599">
                  <c:v>35</c:v>
                </c:pt>
                <c:pt idx="600">
                  <c:v>20</c:v>
                </c:pt>
                <c:pt idx="601">
                  <c:v>16</c:v>
                </c:pt>
                <c:pt idx="602">
                  <c:v>22</c:v>
                </c:pt>
                <c:pt idx="603">
                  <c:v>38</c:v>
                </c:pt>
                <c:pt idx="604">
                  <c:v>8</c:v>
                </c:pt>
                <c:pt idx="605">
                  <c:v>20</c:v>
                </c:pt>
                <c:pt idx="606">
                  <c:v>20</c:v>
                </c:pt>
                <c:pt idx="607">
                  <c:v>32</c:v>
                </c:pt>
                <c:pt idx="608">
                  <c:v>39</c:v>
                </c:pt>
                <c:pt idx="609">
                  <c:v>10</c:v>
                </c:pt>
                <c:pt idx="610">
                  <c:v>26</c:v>
                </c:pt>
                <c:pt idx="611">
                  <c:v>17</c:v>
                </c:pt>
                <c:pt idx="612">
                  <c:v>11</c:v>
                </c:pt>
                <c:pt idx="613">
                  <c:v>17</c:v>
                </c:pt>
                <c:pt idx="614">
                  <c:v>16</c:v>
                </c:pt>
                <c:pt idx="615">
                  <c:v>16</c:v>
                </c:pt>
                <c:pt idx="616">
                  <c:v>14</c:v>
                </c:pt>
                <c:pt idx="617">
                  <c:v>29</c:v>
                </c:pt>
                <c:pt idx="618">
                  <c:v>4</c:v>
                </c:pt>
                <c:pt idx="619">
                  <c:v>14</c:v>
                </c:pt>
                <c:pt idx="620">
                  <c:v>12</c:v>
                </c:pt>
                <c:pt idx="621">
                  <c:v>16</c:v>
                </c:pt>
                <c:pt idx="622">
                  <c:v>15</c:v>
                </c:pt>
                <c:pt idx="623">
                  <c:v>5</c:v>
                </c:pt>
                <c:pt idx="624">
                  <c:v>14</c:v>
                </c:pt>
                <c:pt idx="625">
                  <c:v>14</c:v>
                </c:pt>
                <c:pt idx="626">
                  <c:v>13</c:v>
                </c:pt>
                <c:pt idx="627">
                  <c:v>17</c:v>
                </c:pt>
                <c:pt idx="628">
                  <c:v>12</c:v>
                </c:pt>
                <c:pt idx="629">
                  <c:v>16</c:v>
                </c:pt>
                <c:pt idx="630">
                  <c:v>9</c:v>
                </c:pt>
                <c:pt idx="631">
                  <c:v>17</c:v>
                </c:pt>
                <c:pt idx="632">
                  <c:v>11</c:v>
                </c:pt>
                <c:pt idx="633">
                  <c:v>3</c:v>
                </c:pt>
                <c:pt idx="634">
                  <c:v>14</c:v>
                </c:pt>
                <c:pt idx="635">
                  <c:v>11</c:v>
                </c:pt>
                <c:pt idx="636">
                  <c:v>10</c:v>
                </c:pt>
                <c:pt idx="637">
                  <c:v>21</c:v>
                </c:pt>
                <c:pt idx="638">
                  <c:v>5</c:v>
                </c:pt>
                <c:pt idx="639">
                  <c:v>11</c:v>
                </c:pt>
                <c:pt idx="640">
                  <c:v>15</c:v>
                </c:pt>
                <c:pt idx="641">
                  <c:v>19</c:v>
                </c:pt>
                <c:pt idx="642">
                  <c:v>17</c:v>
                </c:pt>
                <c:pt idx="643">
                  <c:v>5</c:v>
                </c:pt>
                <c:pt idx="644">
                  <c:v>9</c:v>
                </c:pt>
                <c:pt idx="645">
                  <c:v>10</c:v>
                </c:pt>
                <c:pt idx="646">
                  <c:v>14</c:v>
                </c:pt>
                <c:pt idx="647">
                  <c:v>7</c:v>
                </c:pt>
                <c:pt idx="648">
                  <c:v>6</c:v>
                </c:pt>
                <c:pt idx="649">
                  <c:v>14</c:v>
                </c:pt>
                <c:pt idx="650">
                  <c:v>18</c:v>
                </c:pt>
                <c:pt idx="651">
                  <c:v>6</c:v>
                </c:pt>
                <c:pt idx="652">
                  <c:v>5</c:v>
                </c:pt>
                <c:pt idx="653">
                  <c:v>10</c:v>
                </c:pt>
                <c:pt idx="654">
                  <c:v>12</c:v>
                </c:pt>
                <c:pt idx="655">
                  <c:v>13</c:v>
                </c:pt>
                <c:pt idx="656">
                  <c:v>14</c:v>
                </c:pt>
                <c:pt idx="657">
                  <c:v>5</c:v>
                </c:pt>
                <c:pt idx="658">
                  <c:v>10</c:v>
                </c:pt>
                <c:pt idx="659">
                  <c:v>15</c:v>
                </c:pt>
                <c:pt idx="660">
                  <c:v>17</c:v>
                </c:pt>
                <c:pt idx="661">
                  <c:v>18</c:v>
                </c:pt>
                <c:pt idx="662">
                  <c:v>9</c:v>
                </c:pt>
                <c:pt idx="663">
                  <c:v>13</c:v>
                </c:pt>
                <c:pt idx="664">
                  <c:v>7</c:v>
                </c:pt>
                <c:pt idx="665">
                  <c:v>14</c:v>
                </c:pt>
                <c:pt idx="666">
                  <c:v>16</c:v>
                </c:pt>
                <c:pt idx="667">
                  <c:v>16</c:v>
                </c:pt>
                <c:pt idx="668">
                  <c:v>10</c:v>
                </c:pt>
                <c:pt idx="669">
                  <c:v>10</c:v>
                </c:pt>
                <c:pt idx="670">
                  <c:v>17</c:v>
                </c:pt>
                <c:pt idx="671">
                  <c:v>12</c:v>
                </c:pt>
                <c:pt idx="672">
                  <c:v>6</c:v>
                </c:pt>
                <c:pt idx="673">
                  <c:v>8</c:v>
                </c:pt>
                <c:pt idx="674">
                  <c:v>15</c:v>
                </c:pt>
                <c:pt idx="675">
                  <c:v>9</c:v>
                </c:pt>
                <c:pt idx="676">
                  <c:v>7</c:v>
                </c:pt>
                <c:pt idx="677">
                  <c:v>7</c:v>
                </c:pt>
                <c:pt idx="678">
                  <c:v>9</c:v>
                </c:pt>
                <c:pt idx="679">
                  <c:v>12</c:v>
                </c:pt>
                <c:pt idx="680">
                  <c:v>18</c:v>
                </c:pt>
                <c:pt idx="681">
                  <c:v>10</c:v>
                </c:pt>
                <c:pt idx="682">
                  <c:v>11</c:v>
                </c:pt>
                <c:pt idx="683">
                  <c:v>6</c:v>
                </c:pt>
                <c:pt idx="684">
                  <c:v>17</c:v>
                </c:pt>
                <c:pt idx="685">
                  <c:v>12</c:v>
                </c:pt>
                <c:pt idx="686">
                  <c:v>7</c:v>
                </c:pt>
                <c:pt idx="687">
                  <c:v>12</c:v>
                </c:pt>
                <c:pt idx="688">
                  <c:v>8</c:v>
                </c:pt>
                <c:pt idx="689">
                  <c:v>7</c:v>
                </c:pt>
                <c:pt idx="690">
                  <c:v>19</c:v>
                </c:pt>
                <c:pt idx="691">
                  <c:v>4</c:v>
                </c:pt>
                <c:pt idx="692">
                  <c:v>14</c:v>
                </c:pt>
                <c:pt idx="693">
                  <c:v>7</c:v>
                </c:pt>
                <c:pt idx="694">
                  <c:v>5</c:v>
                </c:pt>
                <c:pt idx="695">
                  <c:v>5</c:v>
                </c:pt>
                <c:pt idx="696">
                  <c:v>8</c:v>
                </c:pt>
                <c:pt idx="697">
                  <c:v>12</c:v>
                </c:pt>
                <c:pt idx="698">
                  <c:v>10</c:v>
                </c:pt>
                <c:pt idx="699">
                  <c:v>9</c:v>
                </c:pt>
                <c:pt idx="700">
                  <c:v>1</c:v>
                </c:pt>
                <c:pt idx="701">
                  <c:v>13</c:v>
                </c:pt>
                <c:pt idx="702">
                  <c:v>11</c:v>
                </c:pt>
                <c:pt idx="703">
                  <c:v>7</c:v>
                </c:pt>
                <c:pt idx="704">
                  <c:v>0</c:v>
                </c:pt>
                <c:pt idx="705">
                  <c:v>9</c:v>
                </c:pt>
                <c:pt idx="706">
                  <c:v>8</c:v>
                </c:pt>
                <c:pt idx="707">
                  <c:v>7</c:v>
                </c:pt>
                <c:pt idx="708">
                  <c:v>13</c:v>
                </c:pt>
                <c:pt idx="709">
                  <c:v>12</c:v>
                </c:pt>
                <c:pt idx="710">
                  <c:v>4</c:v>
                </c:pt>
                <c:pt idx="711">
                  <c:v>8</c:v>
                </c:pt>
                <c:pt idx="712">
                  <c:v>9</c:v>
                </c:pt>
                <c:pt idx="713">
                  <c:v>10</c:v>
                </c:pt>
                <c:pt idx="714">
                  <c:v>8</c:v>
                </c:pt>
                <c:pt idx="715">
                  <c:v>7</c:v>
                </c:pt>
                <c:pt idx="716">
                  <c:v>9</c:v>
                </c:pt>
                <c:pt idx="717">
                  <c:v>10</c:v>
                </c:pt>
                <c:pt idx="718">
                  <c:v>16</c:v>
                </c:pt>
                <c:pt idx="719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74-4451-A968-9C723A2B0A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9705215"/>
        <c:axId val="1059705695"/>
      </c:lineChart>
      <c:dateAx>
        <c:axId val="105970521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705695"/>
        <c:crosses val="autoZero"/>
        <c:auto val="1"/>
        <c:lblOffset val="100"/>
        <c:baseTimeUnit val="days"/>
      </c:dateAx>
      <c:valAx>
        <c:axId val="1059705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705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304800</xdr:colOff>
      <xdr:row>0</xdr:row>
      <xdr:rowOff>133350</xdr:rowOff>
    </xdr:from>
    <xdr:to>
      <xdr:col>30</xdr:col>
      <xdr:colOff>0</xdr:colOff>
      <xdr:row>15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BB0BDB-2161-729B-EA1C-ADE3E1B7A3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266700</xdr:colOff>
      <xdr:row>15</xdr:row>
      <xdr:rowOff>140970</xdr:rowOff>
    </xdr:from>
    <xdr:to>
      <xdr:col>29</xdr:col>
      <xdr:colOff>571500</xdr:colOff>
      <xdr:row>30</xdr:row>
      <xdr:rowOff>140970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A216B1-1E98-93FC-E843-2B0B7B19C2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251460</xdr:colOff>
      <xdr:row>30</xdr:row>
      <xdr:rowOff>156210</xdr:rowOff>
    </xdr:from>
    <xdr:to>
      <xdr:col>29</xdr:col>
      <xdr:colOff>556260</xdr:colOff>
      <xdr:row>45</xdr:row>
      <xdr:rowOff>156210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43C1066-FE8D-32DE-4B39-CC7663E14F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HS_Unaccompanies_Alien_Childre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HS_Unaccompanied_alien_children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HHS_Unaccompanies_alien_Children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HS_Unaccompanied_Alien_Childre"/>
      <sheetName val="Clean_Data"/>
    </sheetNames>
    <sheetDataSet>
      <sheetData sheetId="0">
        <row r="2">
          <cell r="G2">
            <v>44938</v>
          </cell>
        </row>
        <row r="3">
          <cell r="G3">
            <v>44948</v>
          </cell>
        </row>
        <row r="4">
          <cell r="G4">
            <v>44949</v>
          </cell>
        </row>
        <row r="5">
          <cell r="G5">
            <v>44950</v>
          </cell>
        </row>
        <row r="6">
          <cell r="G6">
            <v>44951</v>
          </cell>
        </row>
        <row r="7">
          <cell r="G7">
            <v>44955</v>
          </cell>
        </row>
        <row r="8">
          <cell r="G8">
            <v>44956</v>
          </cell>
        </row>
        <row r="9">
          <cell r="G9">
            <v>44957</v>
          </cell>
        </row>
        <row r="10">
          <cell r="G10">
            <v>44958</v>
          </cell>
        </row>
        <row r="11">
          <cell r="G11">
            <v>44959</v>
          </cell>
        </row>
        <row r="12">
          <cell r="G12">
            <v>44962</v>
          </cell>
        </row>
        <row r="13">
          <cell r="G13">
            <v>44963</v>
          </cell>
        </row>
        <row r="14">
          <cell r="G14">
            <v>44964</v>
          </cell>
        </row>
        <row r="15">
          <cell r="G15">
            <v>44965</v>
          </cell>
        </row>
        <row r="16">
          <cell r="G16">
            <v>44966</v>
          </cell>
        </row>
        <row r="17">
          <cell r="G17">
            <v>44969</v>
          </cell>
        </row>
        <row r="18">
          <cell r="G18">
            <v>44970</v>
          </cell>
        </row>
        <row r="19">
          <cell r="G19">
            <v>44971</v>
          </cell>
        </row>
        <row r="20">
          <cell r="G20">
            <v>44972</v>
          </cell>
        </row>
        <row r="21">
          <cell r="G21">
            <v>44973</v>
          </cell>
        </row>
        <row r="22">
          <cell r="G22">
            <v>44977</v>
          </cell>
        </row>
        <row r="23">
          <cell r="G23">
            <v>44978</v>
          </cell>
        </row>
        <row r="24">
          <cell r="G24">
            <v>44979</v>
          </cell>
        </row>
        <row r="25">
          <cell r="G25">
            <v>44980</v>
          </cell>
        </row>
        <row r="26">
          <cell r="G26">
            <v>44983</v>
          </cell>
        </row>
        <row r="27">
          <cell r="G27">
            <v>44984</v>
          </cell>
        </row>
        <row r="28">
          <cell r="G28">
            <v>44985</v>
          </cell>
        </row>
        <row r="29">
          <cell r="G29">
            <v>44986</v>
          </cell>
        </row>
        <row r="30">
          <cell r="G30">
            <v>44987</v>
          </cell>
        </row>
        <row r="31">
          <cell r="G31">
            <v>44992</v>
          </cell>
        </row>
        <row r="32">
          <cell r="G32">
            <v>44993</v>
          </cell>
        </row>
        <row r="33">
          <cell r="G33">
            <v>44994</v>
          </cell>
        </row>
        <row r="34">
          <cell r="G34">
            <v>44998</v>
          </cell>
        </row>
        <row r="35">
          <cell r="G35">
            <v>44999</v>
          </cell>
        </row>
        <row r="36">
          <cell r="G36">
            <v>45000</v>
          </cell>
        </row>
        <row r="37">
          <cell r="G37">
            <v>45001</v>
          </cell>
        </row>
        <row r="38">
          <cell r="G38">
            <v>45004</v>
          </cell>
        </row>
        <row r="39">
          <cell r="G39">
            <v>45005</v>
          </cell>
        </row>
        <row r="40">
          <cell r="G40">
            <v>45006</v>
          </cell>
        </row>
        <row r="41">
          <cell r="G41">
            <v>45007</v>
          </cell>
        </row>
        <row r="42">
          <cell r="G42">
            <v>45008</v>
          </cell>
        </row>
        <row r="43">
          <cell r="G43">
            <v>45011</v>
          </cell>
        </row>
        <row r="44">
          <cell r="G44">
            <v>45012</v>
          </cell>
        </row>
        <row r="45">
          <cell r="G45">
            <v>45013</v>
          </cell>
        </row>
        <row r="46">
          <cell r="G46">
            <v>45014</v>
          </cell>
        </row>
        <row r="47">
          <cell r="G47">
            <v>45015</v>
          </cell>
        </row>
        <row r="48">
          <cell r="G48">
            <v>45018</v>
          </cell>
        </row>
        <row r="49">
          <cell r="G49">
            <v>45019</v>
          </cell>
        </row>
        <row r="50">
          <cell r="G50">
            <v>45020</v>
          </cell>
        </row>
        <row r="51">
          <cell r="G51">
            <v>45021</v>
          </cell>
        </row>
        <row r="52">
          <cell r="G52">
            <v>45022</v>
          </cell>
        </row>
        <row r="53">
          <cell r="G53">
            <v>45025</v>
          </cell>
        </row>
        <row r="54">
          <cell r="G54">
            <v>45026</v>
          </cell>
        </row>
        <row r="55">
          <cell r="G55">
            <v>45027</v>
          </cell>
        </row>
        <row r="56">
          <cell r="G56">
            <v>45028</v>
          </cell>
        </row>
        <row r="57">
          <cell r="G57">
            <v>45029</v>
          </cell>
        </row>
        <row r="58">
          <cell r="G58">
            <v>45032</v>
          </cell>
        </row>
        <row r="59">
          <cell r="G59">
            <v>45033</v>
          </cell>
        </row>
        <row r="60">
          <cell r="G60">
            <v>45034</v>
          </cell>
        </row>
        <row r="61">
          <cell r="G61">
            <v>45035</v>
          </cell>
        </row>
        <row r="62">
          <cell r="G62">
            <v>45036</v>
          </cell>
        </row>
        <row r="63">
          <cell r="G63">
            <v>45039</v>
          </cell>
        </row>
        <row r="64">
          <cell r="G64">
            <v>45040</v>
          </cell>
        </row>
        <row r="65">
          <cell r="G65">
            <v>45041</v>
          </cell>
        </row>
        <row r="66">
          <cell r="G66">
            <v>45042</v>
          </cell>
        </row>
        <row r="67">
          <cell r="G67">
            <v>45043</v>
          </cell>
        </row>
        <row r="68">
          <cell r="G68">
            <v>45046</v>
          </cell>
        </row>
        <row r="69">
          <cell r="G69">
            <v>45047</v>
          </cell>
        </row>
        <row r="70">
          <cell r="G70">
            <v>45048</v>
          </cell>
        </row>
        <row r="71">
          <cell r="G71">
            <v>45049</v>
          </cell>
        </row>
        <row r="72">
          <cell r="G72">
            <v>45050</v>
          </cell>
        </row>
        <row r="73">
          <cell r="G73">
            <v>45053</v>
          </cell>
        </row>
        <row r="74">
          <cell r="G74">
            <v>45054</v>
          </cell>
        </row>
        <row r="75">
          <cell r="G75">
            <v>45055</v>
          </cell>
        </row>
        <row r="76">
          <cell r="G76">
            <v>45056</v>
          </cell>
        </row>
        <row r="77">
          <cell r="G77">
            <v>45057</v>
          </cell>
        </row>
        <row r="78">
          <cell r="G78">
            <v>45060</v>
          </cell>
        </row>
        <row r="79">
          <cell r="G79">
            <v>45061</v>
          </cell>
        </row>
        <row r="80">
          <cell r="G80">
            <v>45062</v>
          </cell>
        </row>
        <row r="81">
          <cell r="G81">
            <v>45063</v>
          </cell>
        </row>
        <row r="82">
          <cell r="G82">
            <v>45064</v>
          </cell>
        </row>
        <row r="83">
          <cell r="G83">
            <v>45067</v>
          </cell>
        </row>
        <row r="84">
          <cell r="G84">
            <v>45068</v>
          </cell>
        </row>
        <row r="85">
          <cell r="G85">
            <v>45069</v>
          </cell>
        </row>
        <row r="86">
          <cell r="G86">
            <v>45070</v>
          </cell>
        </row>
        <row r="87">
          <cell r="G87">
            <v>45071</v>
          </cell>
        </row>
        <row r="88">
          <cell r="G88">
            <v>45075</v>
          </cell>
        </row>
        <row r="89">
          <cell r="G89">
            <v>45076</v>
          </cell>
        </row>
        <row r="90">
          <cell r="G90">
            <v>45077</v>
          </cell>
        </row>
        <row r="91">
          <cell r="G91">
            <v>45078</v>
          </cell>
        </row>
        <row r="92">
          <cell r="G92">
            <v>45081</v>
          </cell>
        </row>
        <row r="93">
          <cell r="G93">
            <v>45082</v>
          </cell>
        </row>
        <row r="94">
          <cell r="G94">
            <v>45083</v>
          </cell>
        </row>
        <row r="95">
          <cell r="G95">
            <v>45084</v>
          </cell>
        </row>
        <row r="96">
          <cell r="G96">
            <v>45085</v>
          </cell>
        </row>
        <row r="97">
          <cell r="G97">
            <v>45088</v>
          </cell>
        </row>
        <row r="98">
          <cell r="G98">
            <v>45089</v>
          </cell>
        </row>
        <row r="99">
          <cell r="G99">
            <v>45090</v>
          </cell>
        </row>
        <row r="100">
          <cell r="G100">
            <v>45091</v>
          </cell>
        </row>
        <row r="101">
          <cell r="G101">
            <v>45092</v>
          </cell>
        </row>
        <row r="102">
          <cell r="G102">
            <v>45096</v>
          </cell>
        </row>
        <row r="103">
          <cell r="G103">
            <v>45097</v>
          </cell>
        </row>
        <row r="104">
          <cell r="G104">
            <v>45098</v>
          </cell>
        </row>
        <row r="105">
          <cell r="G105">
            <v>45099</v>
          </cell>
        </row>
        <row r="106">
          <cell r="G106">
            <v>45102</v>
          </cell>
        </row>
        <row r="107">
          <cell r="G107">
            <v>45103</v>
          </cell>
        </row>
        <row r="108">
          <cell r="G108">
            <v>45104</v>
          </cell>
        </row>
        <row r="109">
          <cell r="G109">
            <v>45105</v>
          </cell>
        </row>
        <row r="110">
          <cell r="G110">
            <v>45106</v>
          </cell>
        </row>
        <row r="111">
          <cell r="G111">
            <v>45109</v>
          </cell>
        </row>
        <row r="112">
          <cell r="G112">
            <v>45111</v>
          </cell>
        </row>
        <row r="113">
          <cell r="G113">
            <v>45112</v>
          </cell>
        </row>
        <row r="114">
          <cell r="G114">
            <v>45113</v>
          </cell>
        </row>
        <row r="115">
          <cell r="G115">
            <v>45116</v>
          </cell>
        </row>
        <row r="116">
          <cell r="G116">
            <v>45117</v>
          </cell>
        </row>
        <row r="117">
          <cell r="G117">
            <v>45118</v>
          </cell>
        </row>
        <row r="118">
          <cell r="G118">
            <v>45119</v>
          </cell>
        </row>
        <row r="119">
          <cell r="G119">
            <v>45120</v>
          </cell>
        </row>
        <row r="120">
          <cell r="G120">
            <v>45123</v>
          </cell>
        </row>
        <row r="121">
          <cell r="G121">
            <v>45124</v>
          </cell>
        </row>
        <row r="122">
          <cell r="G122">
            <v>45125</v>
          </cell>
        </row>
        <row r="123">
          <cell r="G123">
            <v>45126</v>
          </cell>
        </row>
        <row r="124">
          <cell r="G124">
            <v>45127</v>
          </cell>
        </row>
        <row r="125">
          <cell r="G125">
            <v>45130</v>
          </cell>
        </row>
        <row r="126">
          <cell r="G126">
            <v>45131</v>
          </cell>
        </row>
        <row r="127">
          <cell r="G127">
            <v>45132</v>
          </cell>
        </row>
        <row r="128">
          <cell r="G128">
            <v>45133</v>
          </cell>
        </row>
        <row r="129">
          <cell r="G129">
            <v>45134</v>
          </cell>
        </row>
        <row r="130">
          <cell r="G130">
            <v>45137</v>
          </cell>
        </row>
        <row r="131">
          <cell r="G131">
            <v>45138</v>
          </cell>
        </row>
        <row r="132">
          <cell r="G132">
            <v>45139</v>
          </cell>
        </row>
        <row r="133">
          <cell r="G133">
            <v>45140</v>
          </cell>
        </row>
        <row r="134">
          <cell r="G134">
            <v>45141</v>
          </cell>
        </row>
        <row r="135">
          <cell r="G135">
            <v>45144</v>
          </cell>
        </row>
        <row r="136">
          <cell r="G136">
            <v>45145</v>
          </cell>
        </row>
        <row r="137">
          <cell r="G137">
            <v>45146</v>
          </cell>
        </row>
        <row r="138">
          <cell r="G138">
            <v>45147</v>
          </cell>
        </row>
        <row r="139">
          <cell r="G139">
            <v>45148</v>
          </cell>
        </row>
        <row r="140">
          <cell r="G140">
            <v>45154</v>
          </cell>
        </row>
        <row r="141">
          <cell r="G141">
            <v>45155</v>
          </cell>
        </row>
        <row r="142">
          <cell r="G142">
            <v>45158</v>
          </cell>
        </row>
        <row r="143">
          <cell r="G143">
            <v>45159</v>
          </cell>
        </row>
        <row r="144">
          <cell r="G144">
            <v>45160</v>
          </cell>
        </row>
        <row r="145">
          <cell r="G145">
            <v>45161</v>
          </cell>
        </row>
        <row r="146">
          <cell r="G146">
            <v>45162</v>
          </cell>
        </row>
        <row r="147">
          <cell r="G147">
            <v>45165</v>
          </cell>
        </row>
        <row r="148">
          <cell r="G148">
            <v>45166</v>
          </cell>
        </row>
        <row r="149">
          <cell r="G149">
            <v>45167</v>
          </cell>
        </row>
        <row r="150">
          <cell r="G150">
            <v>45168</v>
          </cell>
        </row>
        <row r="151">
          <cell r="G151">
            <v>45169</v>
          </cell>
        </row>
        <row r="152">
          <cell r="G152">
            <v>45173</v>
          </cell>
        </row>
        <row r="153">
          <cell r="G153">
            <v>45174</v>
          </cell>
        </row>
        <row r="154">
          <cell r="G154">
            <v>45175</v>
          </cell>
        </row>
        <row r="155">
          <cell r="G155">
            <v>45176</v>
          </cell>
        </row>
        <row r="156">
          <cell r="G156">
            <v>45179</v>
          </cell>
        </row>
        <row r="157">
          <cell r="G157">
            <v>45180</v>
          </cell>
        </row>
        <row r="158">
          <cell r="G158">
            <v>45181</v>
          </cell>
        </row>
        <row r="159">
          <cell r="G159">
            <v>45182</v>
          </cell>
        </row>
        <row r="160">
          <cell r="G160">
            <v>45183</v>
          </cell>
        </row>
        <row r="161">
          <cell r="G161">
            <v>45186</v>
          </cell>
        </row>
        <row r="162">
          <cell r="G162">
            <v>45187</v>
          </cell>
        </row>
        <row r="163">
          <cell r="G163">
            <v>45188</v>
          </cell>
        </row>
        <row r="164">
          <cell r="G164">
            <v>45189</v>
          </cell>
        </row>
        <row r="165">
          <cell r="G165">
            <v>45190</v>
          </cell>
        </row>
        <row r="166">
          <cell r="G166">
            <v>45193</v>
          </cell>
        </row>
        <row r="167">
          <cell r="G167">
            <v>45194</v>
          </cell>
        </row>
        <row r="168">
          <cell r="G168">
            <v>45195</v>
          </cell>
        </row>
        <row r="169">
          <cell r="G169">
            <v>45196</v>
          </cell>
        </row>
        <row r="170">
          <cell r="G170">
            <v>45197</v>
          </cell>
        </row>
        <row r="171">
          <cell r="G171">
            <v>45200</v>
          </cell>
        </row>
        <row r="172">
          <cell r="G172">
            <v>45201</v>
          </cell>
        </row>
        <row r="173">
          <cell r="G173">
            <v>45202</v>
          </cell>
        </row>
        <row r="174">
          <cell r="G174">
            <v>45203</v>
          </cell>
        </row>
        <row r="175">
          <cell r="G175">
            <v>45204</v>
          </cell>
        </row>
        <row r="176">
          <cell r="G176">
            <v>45208</v>
          </cell>
        </row>
        <row r="177">
          <cell r="G177">
            <v>45209</v>
          </cell>
        </row>
        <row r="178">
          <cell r="G178">
            <v>45210</v>
          </cell>
        </row>
        <row r="179">
          <cell r="G179">
            <v>45211</v>
          </cell>
        </row>
        <row r="180">
          <cell r="G180">
            <v>45214</v>
          </cell>
        </row>
        <row r="181">
          <cell r="G181">
            <v>45215</v>
          </cell>
        </row>
        <row r="182">
          <cell r="G182">
            <v>45216</v>
          </cell>
        </row>
        <row r="183">
          <cell r="G183">
            <v>45217</v>
          </cell>
        </row>
        <row r="184">
          <cell r="G184">
            <v>45218</v>
          </cell>
        </row>
        <row r="185">
          <cell r="G185">
            <v>45221</v>
          </cell>
        </row>
        <row r="186">
          <cell r="G186">
            <v>45222</v>
          </cell>
        </row>
        <row r="187">
          <cell r="G187">
            <v>45223</v>
          </cell>
        </row>
        <row r="188">
          <cell r="G188">
            <v>45224</v>
          </cell>
        </row>
        <row r="189">
          <cell r="G189">
            <v>45225</v>
          </cell>
        </row>
        <row r="190">
          <cell r="G190">
            <v>45228</v>
          </cell>
        </row>
        <row r="191">
          <cell r="G191">
            <v>45229</v>
          </cell>
        </row>
        <row r="192">
          <cell r="G192">
            <v>45230</v>
          </cell>
        </row>
        <row r="193">
          <cell r="G193">
            <v>45231</v>
          </cell>
        </row>
        <row r="194">
          <cell r="G194">
            <v>45232</v>
          </cell>
        </row>
        <row r="195">
          <cell r="G195">
            <v>45235</v>
          </cell>
        </row>
        <row r="196">
          <cell r="G196">
            <v>45236</v>
          </cell>
        </row>
        <row r="197">
          <cell r="G197">
            <v>45237</v>
          </cell>
        </row>
        <row r="198">
          <cell r="G198">
            <v>45238</v>
          </cell>
        </row>
        <row r="199">
          <cell r="G199">
            <v>45242</v>
          </cell>
        </row>
        <row r="200">
          <cell r="G200">
            <v>45243</v>
          </cell>
        </row>
        <row r="201">
          <cell r="G201">
            <v>45244</v>
          </cell>
        </row>
        <row r="202">
          <cell r="G202">
            <v>45245</v>
          </cell>
        </row>
        <row r="203">
          <cell r="G203">
            <v>45246</v>
          </cell>
        </row>
        <row r="204">
          <cell r="G204">
            <v>45249</v>
          </cell>
        </row>
        <row r="205">
          <cell r="G205">
            <v>45250</v>
          </cell>
        </row>
        <row r="206">
          <cell r="G206">
            <v>45251</v>
          </cell>
        </row>
        <row r="207">
          <cell r="G207">
            <v>45253</v>
          </cell>
        </row>
        <row r="208">
          <cell r="G208">
            <v>45256</v>
          </cell>
        </row>
        <row r="209">
          <cell r="G209">
            <v>45257</v>
          </cell>
        </row>
        <row r="210">
          <cell r="G210">
            <v>45258</v>
          </cell>
        </row>
        <row r="211">
          <cell r="G211">
            <v>45259</v>
          </cell>
        </row>
        <row r="212">
          <cell r="G212">
            <v>45260</v>
          </cell>
        </row>
        <row r="213">
          <cell r="G213">
            <v>45263</v>
          </cell>
        </row>
        <row r="214">
          <cell r="G214">
            <v>45264</v>
          </cell>
        </row>
        <row r="215">
          <cell r="G215">
            <v>45265</v>
          </cell>
        </row>
        <row r="216">
          <cell r="G216">
            <v>45266</v>
          </cell>
        </row>
        <row r="217">
          <cell r="G217">
            <v>45267</v>
          </cell>
        </row>
        <row r="218">
          <cell r="G218">
            <v>45270</v>
          </cell>
        </row>
        <row r="219">
          <cell r="G219">
            <v>45271</v>
          </cell>
        </row>
        <row r="220">
          <cell r="G220">
            <v>45272</v>
          </cell>
        </row>
        <row r="221">
          <cell r="G221">
            <v>45273</v>
          </cell>
        </row>
        <row r="222">
          <cell r="G222">
            <v>45274</v>
          </cell>
        </row>
        <row r="223">
          <cell r="G223">
            <v>45277</v>
          </cell>
        </row>
        <row r="224">
          <cell r="G224">
            <v>45278</v>
          </cell>
        </row>
        <row r="225">
          <cell r="G225">
            <v>45279</v>
          </cell>
        </row>
        <row r="226">
          <cell r="G226">
            <v>45280</v>
          </cell>
        </row>
        <row r="227">
          <cell r="G227">
            <v>45281</v>
          </cell>
        </row>
        <row r="228">
          <cell r="G228">
            <v>45285</v>
          </cell>
        </row>
        <row r="229">
          <cell r="G229">
            <v>45286</v>
          </cell>
        </row>
        <row r="230">
          <cell r="G230">
            <v>45287</v>
          </cell>
        </row>
        <row r="231">
          <cell r="G231">
            <v>45288</v>
          </cell>
        </row>
        <row r="232">
          <cell r="G232">
            <v>45292</v>
          </cell>
        </row>
        <row r="233">
          <cell r="G233">
            <v>45293</v>
          </cell>
        </row>
        <row r="234">
          <cell r="G234">
            <v>45294</v>
          </cell>
        </row>
        <row r="235">
          <cell r="G235">
            <v>45295</v>
          </cell>
        </row>
        <row r="236">
          <cell r="G236">
            <v>45298</v>
          </cell>
        </row>
        <row r="237">
          <cell r="G237">
            <v>45299</v>
          </cell>
        </row>
        <row r="238">
          <cell r="G238">
            <v>45300</v>
          </cell>
        </row>
        <row r="239">
          <cell r="G239">
            <v>45301</v>
          </cell>
        </row>
        <row r="240">
          <cell r="G240">
            <v>45302</v>
          </cell>
        </row>
        <row r="241">
          <cell r="G241">
            <v>45306</v>
          </cell>
        </row>
        <row r="242">
          <cell r="G242">
            <v>45307</v>
          </cell>
        </row>
        <row r="243">
          <cell r="G243">
            <v>45308</v>
          </cell>
        </row>
        <row r="244">
          <cell r="G244">
            <v>45309</v>
          </cell>
        </row>
        <row r="245">
          <cell r="G245">
            <v>45312</v>
          </cell>
        </row>
        <row r="246">
          <cell r="G246">
            <v>45313</v>
          </cell>
        </row>
        <row r="247">
          <cell r="G247">
            <v>45314</v>
          </cell>
        </row>
        <row r="248">
          <cell r="G248">
            <v>45315</v>
          </cell>
        </row>
        <row r="249">
          <cell r="G249">
            <v>45316</v>
          </cell>
        </row>
        <row r="250">
          <cell r="G250">
            <v>45319</v>
          </cell>
        </row>
        <row r="251">
          <cell r="G251">
            <v>45320</v>
          </cell>
        </row>
        <row r="252">
          <cell r="G252">
            <v>45321</v>
          </cell>
        </row>
        <row r="253">
          <cell r="G253">
            <v>45322</v>
          </cell>
        </row>
        <row r="254">
          <cell r="G254">
            <v>45323</v>
          </cell>
        </row>
        <row r="255">
          <cell r="G255">
            <v>45326</v>
          </cell>
        </row>
        <row r="256">
          <cell r="G256">
            <v>45327</v>
          </cell>
        </row>
        <row r="257">
          <cell r="G257">
            <v>45328</v>
          </cell>
        </row>
        <row r="258">
          <cell r="G258">
            <v>45329</v>
          </cell>
        </row>
        <row r="259">
          <cell r="G259">
            <v>45330</v>
          </cell>
        </row>
        <row r="260">
          <cell r="G260">
            <v>45333</v>
          </cell>
        </row>
        <row r="261">
          <cell r="G261">
            <v>45334</v>
          </cell>
        </row>
        <row r="262">
          <cell r="G262">
            <v>45335</v>
          </cell>
        </row>
        <row r="263">
          <cell r="G263">
            <v>45336</v>
          </cell>
        </row>
        <row r="264">
          <cell r="G264">
            <v>45337</v>
          </cell>
        </row>
        <row r="265">
          <cell r="G265">
            <v>45341</v>
          </cell>
        </row>
        <row r="266">
          <cell r="G266">
            <v>45342</v>
          </cell>
        </row>
        <row r="267">
          <cell r="G267">
            <v>45343</v>
          </cell>
        </row>
        <row r="268">
          <cell r="G268">
            <v>45344</v>
          </cell>
        </row>
        <row r="269">
          <cell r="G269">
            <v>45347</v>
          </cell>
        </row>
        <row r="270">
          <cell r="G270">
            <v>45348</v>
          </cell>
        </row>
        <row r="271">
          <cell r="G271">
            <v>45349</v>
          </cell>
        </row>
        <row r="272">
          <cell r="G272">
            <v>45350</v>
          </cell>
        </row>
        <row r="273">
          <cell r="G273">
            <v>45351</v>
          </cell>
        </row>
        <row r="274">
          <cell r="G274">
            <v>45354</v>
          </cell>
        </row>
        <row r="275">
          <cell r="G275">
            <v>45355</v>
          </cell>
        </row>
        <row r="276">
          <cell r="G276">
            <v>45356</v>
          </cell>
        </row>
        <row r="277">
          <cell r="G277">
            <v>45357</v>
          </cell>
        </row>
        <row r="278">
          <cell r="G278">
            <v>45358</v>
          </cell>
        </row>
        <row r="279">
          <cell r="G279">
            <v>45361</v>
          </cell>
        </row>
        <row r="280">
          <cell r="G280">
            <v>45362</v>
          </cell>
        </row>
        <row r="281">
          <cell r="G281">
            <v>45363</v>
          </cell>
        </row>
        <row r="282">
          <cell r="G282">
            <v>45364</v>
          </cell>
        </row>
        <row r="283">
          <cell r="G283">
            <v>45365</v>
          </cell>
        </row>
        <row r="284">
          <cell r="G284">
            <v>45368</v>
          </cell>
        </row>
        <row r="285">
          <cell r="G285">
            <v>45369</v>
          </cell>
        </row>
        <row r="286">
          <cell r="G286">
            <v>45370</v>
          </cell>
        </row>
        <row r="287">
          <cell r="G287">
            <v>45371</v>
          </cell>
        </row>
        <row r="288">
          <cell r="G288">
            <v>45372</v>
          </cell>
        </row>
        <row r="289">
          <cell r="G289">
            <v>45375</v>
          </cell>
        </row>
        <row r="290">
          <cell r="G290">
            <v>45376</v>
          </cell>
        </row>
        <row r="291">
          <cell r="G291">
            <v>45377</v>
          </cell>
        </row>
        <row r="292">
          <cell r="G292">
            <v>45378</v>
          </cell>
        </row>
        <row r="293">
          <cell r="G293">
            <v>45379</v>
          </cell>
        </row>
        <row r="294">
          <cell r="G294">
            <v>45382</v>
          </cell>
        </row>
        <row r="295">
          <cell r="G295">
            <v>45383</v>
          </cell>
        </row>
        <row r="296">
          <cell r="G296">
            <v>45384</v>
          </cell>
        </row>
        <row r="297">
          <cell r="G297">
            <v>45385</v>
          </cell>
        </row>
        <row r="298">
          <cell r="G298">
            <v>45386</v>
          </cell>
        </row>
        <row r="299">
          <cell r="G299">
            <v>45389</v>
          </cell>
        </row>
        <row r="300">
          <cell r="G300">
            <v>45390</v>
          </cell>
        </row>
        <row r="301">
          <cell r="G301">
            <v>45391</v>
          </cell>
        </row>
        <row r="302">
          <cell r="G302">
            <v>45392</v>
          </cell>
        </row>
        <row r="303">
          <cell r="G303">
            <v>45393</v>
          </cell>
        </row>
        <row r="304">
          <cell r="G304">
            <v>45396</v>
          </cell>
        </row>
        <row r="305">
          <cell r="G305">
            <v>45397</v>
          </cell>
        </row>
        <row r="306">
          <cell r="G306">
            <v>45398</v>
          </cell>
        </row>
        <row r="307">
          <cell r="G307">
            <v>45399</v>
          </cell>
        </row>
        <row r="308">
          <cell r="G308">
            <v>45400</v>
          </cell>
        </row>
        <row r="309">
          <cell r="G309">
            <v>45403</v>
          </cell>
        </row>
        <row r="310">
          <cell r="G310">
            <v>45404</v>
          </cell>
        </row>
        <row r="311">
          <cell r="G311">
            <v>45405</v>
          </cell>
        </row>
        <row r="312">
          <cell r="G312">
            <v>45406</v>
          </cell>
        </row>
        <row r="313">
          <cell r="G313">
            <v>45407</v>
          </cell>
        </row>
        <row r="314">
          <cell r="G314">
            <v>45410</v>
          </cell>
        </row>
        <row r="315">
          <cell r="G315">
            <v>45411</v>
          </cell>
        </row>
        <row r="316">
          <cell r="G316">
            <v>45412</v>
          </cell>
        </row>
        <row r="317">
          <cell r="G317">
            <v>45413</v>
          </cell>
        </row>
        <row r="318">
          <cell r="G318">
            <v>45414</v>
          </cell>
        </row>
        <row r="319">
          <cell r="G319">
            <v>45417</v>
          </cell>
        </row>
        <row r="320">
          <cell r="G320">
            <v>45418</v>
          </cell>
        </row>
        <row r="321">
          <cell r="G321">
            <v>45419</v>
          </cell>
        </row>
        <row r="322">
          <cell r="G322">
            <v>45420</v>
          </cell>
        </row>
        <row r="323">
          <cell r="G323">
            <v>45421</v>
          </cell>
        </row>
        <row r="324">
          <cell r="G324">
            <v>45424</v>
          </cell>
        </row>
        <row r="325">
          <cell r="G325">
            <v>45425</v>
          </cell>
        </row>
        <row r="326">
          <cell r="G326">
            <v>45426</v>
          </cell>
        </row>
        <row r="327">
          <cell r="G327">
            <v>45427</v>
          </cell>
        </row>
        <row r="328">
          <cell r="G328">
            <v>45428</v>
          </cell>
        </row>
        <row r="329">
          <cell r="G329">
            <v>45431</v>
          </cell>
        </row>
        <row r="330">
          <cell r="G330">
            <v>45432</v>
          </cell>
        </row>
        <row r="331">
          <cell r="G331">
            <v>45433</v>
          </cell>
        </row>
        <row r="332">
          <cell r="G332">
            <v>45434</v>
          </cell>
        </row>
        <row r="333">
          <cell r="G333">
            <v>45435</v>
          </cell>
        </row>
        <row r="334">
          <cell r="G334">
            <v>45439</v>
          </cell>
        </row>
        <row r="335">
          <cell r="G335">
            <v>45440</v>
          </cell>
        </row>
        <row r="336">
          <cell r="G336">
            <v>45441</v>
          </cell>
        </row>
        <row r="337">
          <cell r="G337">
            <v>45442</v>
          </cell>
        </row>
        <row r="338">
          <cell r="G338">
            <v>45445</v>
          </cell>
        </row>
        <row r="339">
          <cell r="G339">
            <v>45446</v>
          </cell>
        </row>
        <row r="340">
          <cell r="G340">
            <v>45447</v>
          </cell>
        </row>
        <row r="341">
          <cell r="G341">
            <v>45448</v>
          </cell>
        </row>
        <row r="342">
          <cell r="G342">
            <v>45449</v>
          </cell>
        </row>
        <row r="343">
          <cell r="G343">
            <v>45452</v>
          </cell>
        </row>
        <row r="344">
          <cell r="G344">
            <v>45453</v>
          </cell>
        </row>
        <row r="345">
          <cell r="G345">
            <v>45454</v>
          </cell>
        </row>
        <row r="346">
          <cell r="G346">
            <v>45455</v>
          </cell>
        </row>
        <row r="347">
          <cell r="G347">
            <v>45456</v>
          </cell>
        </row>
        <row r="348">
          <cell r="G348">
            <v>45459</v>
          </cell>
        </row>
        <row r="349">
          <cell r="G349">
            <v>45460</v>
          </cell>
        </row>
        <row r="350">
          <cell r="G350">
            <v>45461</v>
          </cell>
        </row>
        <row r="351">
          <cell r="G351">
            <v>45462</v>
          </cell>
        </row>
        <row r="352">
          <cell r="G352">
            <v>45463</v>
          </cell>
        </row>
        <row r="353">
          <cell r="G353">
            <v>45466</v>
          </cell>
        </row>
        <row r="354">
          <cell r="G354">
            <v>45467</v>
          </cell>
        </row>
        <row r="355">
          <cell r="G355">
            <v>45468</v>
          </cell>
        </row>
        <row r="356">
          <cell r="G356">
            <v>45469</v>
          </cell>
        </row>
        <row r="357">
          <cell r="G357">
            <v>45470</v>
          </cell>
        </row>
        <row r="358">
          <cell r="G358">
            <v>45473</v>
          </cell>
        </row>
        <row r="359">
          <cell r="G359">
            <v>45474</v>
          </cell>
        </row>
        <row r="360">
          <cell r="G360">
            <v>45475</v>
          </cell>
        </row>
        <row r="361">
          <cell r="G361">
            <v>45477</v>
          </cell>
        </row>
        <row r="362">
          <cell r="G362">
            <v>45480</v>
          </cell>
        </row>
        <row r="363">
          <cell r="G363">
            <v>45481</v>
          </cell>
        </row>
        <row r="364">
          <cell r="G364">
            <v>45482</v>
          </cell>
        </row>
        <row r="365">
          <cell r="G365">
            <v>45483</v>
          </cell>
        </row>
        <row r="366">
          <cell r="G366">
            <v>45484</v>
          </cell>
        </row>
        <row r="367">
          <cell r="G367">
            <v>45487</v>
          </cell>
        </row>
        <row r="368">
          <cell r="G368">
            <v>45488</v>
          </cell>
        </row>
        <row r="369">
          <cell r="G369">
            <v>45489</v>
          </cell>
        </row>
        <row r="370">
          <cell r="G370">
            <v>45490</v>
          </cell>
        </row>
        <row r="371">
          <cell r="G371">
            <v>45494</v>
          </cell>
        </row>
        <row r="372">
          <cell r="G372">
            <v>45495</v>
          </cell>
        </row>
        <row r="373">
          <cell r="G373">
            <v>45496</v>
          </cell>
        </row>
        <row r="374">
          <cell r="G374">
            <v>45497</v>
          </cell>
        </row>
        <row r="375">
          <cell r="G375">
            <v>45498</v>
          </cell>
        </row>
        <row r="376">
          <cell r="G376">
            <v>45501</v>
          </cell>
        </row>
        <row r="377">
          <cell r="G377">
            <v>45502</v>
          </cell>
        </row>
        <row r="378">
          <cell r="G378">
            <v>45503</v>
          </cell>
        </row>
        <row r="379">
          <cell r="G379">
            <v>45504</v>
          </cell>
        </row>
        <row r="380">
          <cell r="G380">
            <v>45505</v>
          </cell>
        </row>
        <row r="381">
          <cell r="G381">
            <v>45508</v>
          </cell>
        </row>
        <row r="382">
          <cell r="G382">
            <v>45509</v>
          </cell>
        </row>
        <row r="383">
          <cell r="G383">
            <v>45510</v>
          </cell>
        </row>
        <row r="384">
          <cell r="G384">
            <v>45511</v>
          </cell>
        </row>
        <row r="385">
          <cell r="G385">
            <v>45512</v>
          </cell>
        </row>
        <row r="386">
          <cell r="G386">
            <v>45515</v>
          </cell>
        </row>
        <row r="387">
          <cell r="G387">
            <v>45516</v>
          </cell>
        </row>
        <row r="388">
          <cell r="G388">
            <v>45517</v>
          </cell>
        </row>
        <row r="389">
          <cell r="G389">
            <v>45518</v>
          </cell>
        </row>
        <row r="390">
          <cell r="G390">
            <v>45519</v>
          </cell>
        </row>
        <row r="391">
          <cell r="G391">
            <v>45522</v>
          </cell>
        </row>
        <row r="392">
          <cell r="G392">
            <v>45523</v>
          </cell>
        </row>
        <row r="393">
          <cell r="G393">
            <v>45524</v>
          </cell>
        </row>
        <row r="394">
          <cell r="G394">
            <v>45525</v>
          </cell>
        </row>
        <row r="395">
          <cell r="G395">
            <v>45526</v>
          </cell>
        </row>
        <row r="396">
          <cell r="G396">
            <v>45531</v>
          </cell>
        </row>
        <row r="397">
          <cell r="G397">
            <v>45532</v>
          </cell>
        </row>
        <row r="398">
          <cell r="G398">
            <v>45533</v>
          </cell>
        </row>
        <row r="399">
          <cell r="G399">
            <v>45537</v>
          </cell>
        </row>
        <row r="400">
          <cell r="G400">
            <v>45538</v>
          </cell>
        </row>
        <row r="401">
          <cell r="G401">
            <v>45539</v>
          </cell>
        </row>
        <row r="402">
          <cell r="G402">
            <v>45540</v>
          </cell>
        </row>
        <row r="403">
          <cell r="G403">
            <v>45543</v>
          </cell>
        </row>
        <row r="404">
          <cell r="G404">
            <v>45544</v>
          </cell>
        </row>
        <row r="405">
          <cell r="G405">
            <v>45545</v>
          </cell>
        </row>
        <row r="406">
          <cell r="G406">
            <v>45546</v>
          </cell>
        </row>
        <row r="407">
          <cell r="G407">
            <v>45547</v>
          </cell>
        </row>
        <row r="408">
          <cell r="G408">
            <v>45548</v>
          </cell>
        </row>
        <row r="409">
          <cell r="G409">
            <v>45550</v>
          </cell>
        </row>
        <row r="410">
          <cell r="G410">
            <v>45551</v>
          </cell>
        </row>
        <row r="411">
          <cell r="G411">
            <v>45552</v>
          </cell>
        </row>
        <row r="412">
          <cell r="G412">
            <v>45553</v>
          </cell>
        </row>
        <row r="413">
          <cell r="G413">
            <v>45554</v>
          </cell>
        </row>
        <row r="414">
          <cell r="G414">
            <v>45557</v>
          </cell>
        </row>
        <row r="415">
          <cell r="G415">
            <v>45558</v>
          </cell>
        </row>
        <row r="416">
          <cell r="G416">
            <v>45559</v>
          </cell>
        </row>
        <row r="417">
          <cell r="G417">
            <v>45560</v>
          </cell>
        </row>
        <row r="418">
          <cell r="G418">
            <v>45561</v>
          </cell>
        </row>
        <row r="419">
          <cell r="G419">
            <v>45564</v>
          </cell>
        </row>
        <row r="420">
          <cell r="G420">
            <v>45565</v>
          </cell>
        </row>
        <row r="421">
          <cell r="G421">
            <v>45566</v>
          </cell>
        </row>
        <row r="422">
          <cell r="G422">
            <v>45567</v>
          </cell>
        </row>
        <row r="423">
          <cell r="G423">
            <v>45568</v>
          </cell>
        </row>
        <row r="424">
          <cell r="G424">
            <v>45572</v>
          </cell>
        </row>
        <row r="425">
          <cell r="G425">
            <v>45573</v>
          </cell>
        </row>
        <row r="426">
          <cell r="G426">
            <v>45574</v>
          </cell>
        </row>
        <row r="427">
          <cell r="G427">
            <v>45575</v>
          </cell>
        </row>
        <row r="428">
          <cell r="G428">
            <v>45578</v>
          </cell>
        </row>
        <row r="429">
          <cell r="G429">
            <v>45579</v>
          </cell>
        </row>
        <row r="430">
          <cell r="G430">
            <v>45580</v>
          </cell>
        </row>
        <row r="431">
          <cell r="G431">
            <v>45581</v>
          </cell>
        </row>
        <row r="432">
          <cell r="G432">
            <v>45582</v>
          </cell>
        </row>
        <row r="433">
          <cell r="G433">
            <v>45585</v>
          </cell>
        </row>
        <row r="434">
          <cell r="G434">
            <v>45586</v>
          </cell>
        </row>
        <row r="435">
          <cell r="G435">
            <v>45587</v>
          </cell>
        </row>
        <row r="436">
          <cell r="G436">
            <v>45588</v>
          </cell>
        </row>
        <row r="437">
          <cell r="G437">
            <v>45592</v>
          </cell>
        </row>
        <row r="438">
          <cell r="G438">
            <v>45593</v>
          </cell>
        </row>
        <row r="439">
          <cell r="G439">
            <v>45594</v>
          </cell>
        </row>
        <row r="440">
          <cell r="G440">
            <v>45595</v>
          </cell>
        </row>
        <row r="441">
          <cell r="G441">
            <v>45596</v>
          </cell>
        </row>
        <row r="442">
          <cell r="G442">
            <v>45599</v>
          </cell>
        </row>
        <row r="443">
          <cell r="G443">
            <v>45600</v>
          </cell>
        </row>
        <row r="444">
          <cell r="G444">
            <v>45601</v>
          </cell>
        </row>
        <row r="445">
          <cell r="G445">
            <v>45602</v>
          </cell>
        </row>
        <row r="446">
          <cell r="G446">
            <v>45603</v>
          </cell>
        </row>
        <row r="447">
          <cell r="G447">
            <v>45607</v>
          </cell>
        </row>
        <row r="448">
          <cell r="G448">
            <v>45608</v>
          </cell>
        </row>
        <row r="449">
          <cell r="G449">
            <v>45609</v>
          </cell>
        </row>
        <row r="450">
          <cell r="G450">
            <v>45610</v>
          </cell>
        </row>
        <row r="451">
          <cell r="G451">
            <v>45613</v>
          </cell>
        </row>
        <row r="452">
          <cell r="G452">
            <v>45614</v>
          </cell>
        </row>
        <row r="453">
          <cell r="G453">
            <v>45615</v>
          </cell>
        </row>
        <row r="454">
          <cell r="G454">
            <v>45616</v>
          </cell>
        </row>
        <row r="455">
          <cell r="G455">
            <v>45617</v>
          </cell>
        </row>
        <row r="456">
          <cell r="G456">
            <v>45620</v>
          </cell>
        </row>
        <row r="457">
          <cell r="G457">
            <v>45621</v>
          </cell>
        </row>
        <row r="458">
          <cell r="G458">
            <v>45622</v>
          </cell>
        </row>
        <row r="459">
          <cell r="G459">
            <v>45623</v>
          </cell>
        </row>
        <row r="460">
          <cell r="G460">
            <v>45624</v>
          </cell>
        </row>
        <row r="461">
          <cell r="G461">
            <v>45627</v>
          </cell>
        </row>
        <row r="462">
          <cell r="G462">
            <v>45628</v>
          </cell>
        </row>
        <row r="463">
          <cell r="G463">
            <v>45629</v>
          </cell>
        </row>
        <row r="464">
          <cell r="G464">
            <v>45630</v>
          </cell>
        </row>
        <row r="465">
          <cell r="G465">
            <v>45631</v>
          </cell>
        </row>
        <row r="466">
          <cell r="G466">
            <v>45634</v>
          </cell>
        </row>
        <row r="467">
          <cell r="G467">
            <v>45635</v>
          </cell>
        </row>
        <row r="468">
          <cell r="G468">
            <v>45636</v>
          </cell>
        </row>
        <row r="469">
          <cell r="G469">
            <v>45637</v>
          </cell>
        </row>
        <row r="470">
          <cell r="G470">
            <v>45638</v>
          </cell>
        </row>
        <row r="471">
          <cell r="G471">
            <v>45641</v>
          </cell>
        </row>
        <row r="472">
          <cell r="G472">
            <v>45642</v>
          </cell>
        </row>
        <row r="473">
          <cell r="G473">
            <v>45643</v>
          </cell>
        </row>
        <row r="474">
          <cell r="G474">
            <v>45644</v>
          </cell>
        </row>
        <row r="475">
          <cell r="G475">
            <v>45645</v>
          </cell>
        </row>
        <row r="476">
          <cell r="G476">
            <v>45648</v>
          </cell>
        </row>
        <row r="477">
          <cell r="G477">
            <v>45649</v>
          </cell>
        </row>
        <row r="478">
          <cell r="G478">
            <v>45650</v>
          </cell>
        </row>
        <row r="479">
          <cell r="G479">
            <v>45651</v>
          </cell>
        </row>
        <row r="480">
          <cell r="G480">
            <v>45652</v>
          </cell>
        </row>
        <row r="481">
          <cell r="G481">
            <v>45655</v>
          </cell>
        </row>
        <row r="482">
          <cell r="G482">
            <v>45656</v>
          </cell>
        </row>
        <row r="483">
          <cell r="G483">
            <v>45658</v>
          </cell>
        </row>
        <row r="484">
          <cell r="G484">
            <v>45659</v>
          </cell>
        </row>
        <row r="485">
          <cell r="G485">
            <v>45662</v>
          </cell>
        </row>
        <row r="486">
          <cell r="G486">
            <v>45663</v>
          </cell>
        </row>
        <row r="487">
          <cell r="G487">
            <v>45664</v>
          </cell>
        </row>
        <row r="488">
          <cell r="G488">
            <v>45665</v>
          </cell>
        </row>
        <row r="489">
          <cell r="G489">
            <v>45666</v>
          </cell>
        </row>
        <row r="490">
          <cell r="G490">
            <v>45669</v>
          </cell>
        </row>
        <row r="491">
          <cell r="G491">
            <v>45670</v>
          </cell>
        </row>
        <row r="492">
          <cell r="G492">
            <v>45671</v>
          </cell>
        </row>
        <row r="493">
          <cell r="G493">
            <v>45672</v>
          </cell>
        </row>
        <row r="494">
          <cell r="G494">
            <v>45673</v>
          </cell>
        </row>
        <row r="495">
          <cell r="G495">
            <v>45676</v>
          </cell>
        </row>
        <row r="496">
          <cell r="G496">
            <v>45677</v>
          </cell>
        </row>
        <row r="497">
          <cell r="G497">
            <v>45678</v>
          </cell>
        </row>
        <row r="498">
          <cell r="G498">
            <v>45679</v>
          </cell>
        </row>
        <row r="499">
          <cell r="G499">
            <v>45680</v>
          </cell>
        </row>
        <row r="500">
          <cell r="G500">
            <v>45683</v>
          </cell>
        </row>
        <row r="501">
          <cell r="G501">
            <v>45684</v>
          </cell>
        </row>
        <row r="502">
          <cell r="G502">
            <v>45685</v>
          </cell>
        </row>
        <row r="503">
          <cell r="G503">
            <v>45686</v>
          </cell>
        </row>
        <row r="504">
          <cell r="G504">
            <v>45687</v>
          </cell>
        </row>
        <row r="505">
          <cell r="G505">
            <v>45690</v>
          </cell>
        </row>
        <row r="506">
          <cell r="G506">
            <v>45691</v>
          </cell>
        </row>
        <row r="507">
          <cell r="G507">
            <v>45692</v>
          </cell>
        </row>
        <row r="508">
          <cell r="G508">
            <v>45693</v>
          </cell>
        </row>
        <row r="509">
          <cell r="G509">
            <v>45694</v>
          </cell>
        </row>
        <row r="510">
          <cell r="G510">
            <v>45697</v>
          </cell>
        </row>
        <row r="511">
          <cell r="G511">
            <v>45698</v>
          </cell>
        </row>
        <row r="512">
          <cell r="G512">
            <v>45699</v>
          </cell>
        </row>
        <row r="513">
          <cell r="G513">
            <v>45700</v>
          </cell>
        </row>
        <row r="514">
          <cell r="G514">
            <v>45701</v>
          </cell>
        </row>
        <row r="515">
          <cell r="G515">
            <v>45705</v>
          </cell>
        </row>
        <row r="516">
          <cell r="G516">
            <v>45706</v>
          </cell>
        </row>
        <row r="517">
          <cell r="G517">
            <v>45707</v>
          </cell>
        </row>
        <row r="518">
          <cell r="G518">
            <v>45708</v>
          </cell>
        </row>
        <row r="519">
          <cell r="G519">
            <v>45711</v>
          </cell>
        </row>
        <row r="520">
          <cell r="G520">
            <v>45712</v>
          </cell>
        </row>
        <row r="521">
          <cell r="G521">
            <v>45713</v>
          </cell>
        </row>
        <row r="522">
          <cell r="G522">
            <v>45714</v>
          </cell>
        </row>
        <row r="523">
          <cell r="G523">
            <v>45715</v>
          </cell>
        </row>
        <row r="524">
          <cell r="G524">
            <v>45718</v>
          </cell>
        </row>
        <row r="525">
          <cell r="G525">
            <v>45719</v>
          </cell>
        </row>
        <row r="526">
          <cell r="G526">
            <v>45720</v>
          </cell>
        </row>
        <row r="527">
          <cell r="G527">
            <v>45721</v>
          </cell>
        </row>
        <row r="528">
          <cell r="G528">
            <v>45722</v>
          </cell>
        </row>
        <row r="529">
          <cell r="G529">
            <v>45725</v>
          </cell>
        </row>
        <row r="530">
          <cell r="G530">
            <v>45726</v>
          </cell>
        </row>
        <row r="531">
          <cell r="G531">
            <v>45727</v>
          </cell>
        </row>
        <row r="532">
          <cell r="G532">
            <v>45728</v>
          </cell>
        </row>
        <row r="533">
          <cell r="G533">
            <v>45729</v>
          </cell>
        </row>
        <row r="534">
          <cell r="G534">
            <v>45732</v>
          </cell>
        </row>
        <row r="535">
          <cell r="G535">
            <v>45733</v>
          </cell>
        </row>
        <row r="536">
          <cell r="G536">
            <v>45734</v>
          </cell>
        </row>
        <row r="537">
          <cell r="G537">
            <v>45735</v>
          </cell>
        </row>
        <row r="538">
          <cell r="G538">
            <v>45736</v>
          </cell>
        </row>
        <row r="539">
          <cell r="G539">
            <v>45739</v>
          </cell>
        </row>
        <row r="540">
          <cell r="G540">
            <v>45740</v>
          </cell>
        </row>
        <row r="541">
          <cell r="G541">
            <v>45741</v>
          </cell>
        </row>
        <row r="542">
          <cell r="G542">
            <v>45742</v>
          </cell>
        </row>
        <row r="543">
          <cell r="G543">
            <v>45743</v>
          </cell>
        </row>
        <row r="544">
          <cell r="G544">
            <v>45746</v>
          </cell>
        </row>
        <row r="545">
          <cell r="G545">
            <v>45747</v>
          </cell>
        </row>
        <row r="546">
          <cell r="G546">
            <v>45748</v>
          </cell>
        </row>
        <row r="547">
          <cell r="G547">
            <v>45749</v>
          </cell>
        </row>
        <row r="548">
          <cell r="G548">
            <v>45750</v>
          </cell>
        </row>
        <row r="549">
          <cell r="G549">
            <v>45753</v>
          </cell>
        </row>
        <row r="550">
          <cell r="G550">
            <v>45754</v>
          </cell>
        </row>
        <row r="551">
          <cell r="G551">
            <v>45755</v>
          </cell>
        </row>
        <row r="552">
          <cell r="G552">
            <v>45756</v>
          </cell>
        </row>
        <row r="553">
          <cell r="G553">
            <v>45757</v>
          </cell>
        </row>
        <row r="554">
          <cell r="G554">
            <v>45758</v>
          </cell>
        </row>
        <row r="555">
          <cell r="G555">
            <v>45760</v>
          </cell>
        </row>
        <row r="556">
          <cell r="G556">
            <v>45761</v>
          </cell>
        </row>
        <row r="557">
          <cell r="G557">
            <v>45762</v>
          </cell>
        </row>
        <row r="558">
          <cell r="G558">
            <v>45763</v>
          </cell>
        </row>
        <row r="559">
          <cell r="G559">
            <v>45764</v>
          </cell>
        </row>
        <row r="560">
          <cell r="G560">
            <v>45767</v>
          </cell>
        </row>
        <row r="561">
          <cell r="G561">
            <v>45768</v>
          </cell>
        </row>
        <row r="562">
          <cell r="G562">
            <v>45769</v>
          </cell>
        </row>
        <row r="563">
          <cell r="G563">
            <v>45770</v>
          </cell>
        </row>
        <row r="564">
          <cell r="G564">
            <v>45771</v>
          </cell>
        </row>
        <row r="565">
          <cell r="G565">
            <v>45774</v>
          </cell>
        </row>
        <row r="566">
          <cell r="G566">
            <v>45775</v>
          </cell>
        </row>
        <row r="567">
          <cell r="G567">
            <v>45776</v>
          </cell>
        </row>
        <row r="568">
          <cell r="G568">
            <v>45777</v>
          </cell>
        </row>
        <row r="569">
          <cell r="G569">
            <v>45778</v>
          </cell>
        </row>
        <row r="570">
          <cell r="G570">
            <v>45781</v>
          </cell>
        </row>
        <row r="571">
          <cell r="G571">
            <v>45782</v>
          </cell>
        </row>
        <row r="572">
          <cell r="G572">
            <v>45783</v>
          </cell>
        </row>
        <row r="573">
          <cell r="G573">
            <v>45784</v>
          </cell>
        </row>
        <row r="574">
          <cell r="G574">
            <v>45785</v>
          </cell>
        </row>
        <row r="575">
          <cell r="G575">
            <v>45788</v>
          </cell>
        </row>
        <row r="576">
          <cell r="G576">
            <v>45789</v>
          </cell>
        </row>
        <row r="577">
          <cell r="G577">
            <v>45790</v>
          </cell>
        </row>
        <row r="578">
          <cell r="G578">
            <v>45791</v>
          </cell>
        </row>
        <row r="579">
          <cell r="G579">
            <v>45792</v>
          </cell>
        </row>
        <row r="580">
          <cell r="G580">
            <v>45795</v>
          </cell>
        </row>
        <row r="581">
          <cell r="G581">
            <v>45796</v>
          </cell>
        </row>
        <row r="582">
          <cell r="G582">
            <v>45798</v>
          </cell>
        </row>
        <row r="583">
          <cell r="G583">
            <v>45799</v>
          </cell>
        </row>
        <row r="584">
          <cell r="G584">
            <v>45804</v>
          </cell>
        </row>
        <row r="585">
          <cell r="G585">
            <v>45805</v>
          </cell>
        </row>
        <row r="586">
          <cell r="G586">
            <v>45806</v>
          </cell>
        </row>
        <row r="587">
          <cell r="G587">
            <v>45809</v>
          </cell>
        </row>
        <row r="588">
          <cell r="G588">
            <v>45810</v>
          </cell>
        </row>
        <row r="589">
          <cell r="G589">
            <v>45811</v>
          </cell>
        </row>
        <row r="590">
          <cell r="G590">
            <v>45812</v>
          </cell>
        </row>
        <row r="591">
          <cell r="G591">
            <v>45813</v>
          </cell>
        </row>
        <row r="592">
          <cell r="G592">
            <v>45816</v>
          </cell>
        </row>
        <row r="593">
          <cell r="G593">
            <v>45817</v>
          </cell>
        </row>
        <row r="594">
          <cell r="G594">
            <v>45818</v>
          </cell>
        </row>
        <row r="595">
          <cell r="G595">
            <v>45825</v>
          </cell>
        </row>
        <row r="596">
          <cell r="G596">
            <v>45827</v>
          </cell>
        </row>
        <row r="597">
          <cell r="G597">
            <v>45830</v>
          </cell>
        </row>
        <row r="598">
          <cell r="G598">
            <v>45831</v>
          </cell>
        </row>
        <row r="599">
          <cell r="G599">
            <v>45832</v>
          </cell>
        </row>
        <row r="600">
          <cell r="G600">
            <v>45833</v>
          </cell>
        </row>
        <row r="601">
          <cell r="G601">
            <v>45834</v>
          </cell>
        </row>
        <row r="602">
          <cell r="G602">
            <v>45837</v>
          </cell>
        </row>
        <row r="603">
          <cell r="G603">
            <v>45838</v>
          </cell>
        </row>
        <row r="604">
          <cell r="G604">
            <v>45839</v>
          </cell>
        </row>
        <row r="605">
          <cell r="G605">
            <v>45840</v>
          </cell>
        </row>
        <row r="606">
          <cell r="G606">
            <v>45844</v>
          </cell>
        </row>
        <row r="607">
          <cell r="G607">
            <v>45845</v>
          </cell>
        </row>
        <row r="608">
          <cell r="G608">
            <v>45846</v>
          </cell>
        </row>
        <row r="609">
          <cell r="G609">
            <v>45847</v>
          </cell>
        </row>
        <row r="610">
          <cell r="G610">
            <v>45848</v>
          </cell>
        </row>
        <row r="611">
          <cell r="G611">
            <v>45851</v>
          </cell>
        </row>
        <row r="612">
          <cell r="G612">
            <v>45852</v>
          </cell>
        </row>
        <row r="613">
          <cell r="G613">
            <v>45853</v>
          </cell>
        </row>
        <row r="614">
          <cell r="G614">
            <v>45854</v>
          </cell>
        </row>
        <row r="615">
          <cell r="G615">
            <v>45855</v>
          </cell>
        </row>
        <row r="616">
          <cell r="G616">
            <v>45859</v>
          </cell>
        </row>
        <row r="617">
          <cell r="G617">
            <v>45860</v>
          </cell>
        </row>
        <row r="618">
          <cell r="G618">
            <v>45861</v>
          </cell>
        </row>
        <row r="619">
          <cell r="G619">
            <v>45862</v>
          </cell>
        </row>
        <row r="620">
          <cell r="G620">
            <v>45865</v>
          </cell>
        </row>
        <row r="621">
          <cell r="G621">
            <v>45866</v>
          </cell>
        </row>
        <row r="622">
          <cell r="G622">
            <v>45867</v>
          </cell>
        </row>
        <row r="623">
          <cell r="G623">
            <v>45868</v>
          </cell>
        </row>
        <row r="624">
          <cell r="G624">
            <v>45869</v>
          </cell>
        </row>
        <row r="625">
          <cell r="G625">
            <v>45872</v>
          </cell>
        </row>
        <row r="626">
          <cell r="G626">
            <v>45873</v>
          </cell>
        </row>
        <row r="627">
          <cell r="G627">
            <v>45874</v>
          </cell>
        </row>
        <row r="628">
          <cell r="G628">
            <v>45875</v>
          </cell>
        </row>
        <row r="629">
          <cell r="G629">
            <v>45876</v>
          </cell>
        </row>
        <row r="630">
          <cell r="G630">
            <v>45879</v>
          </cell>
        </row>
        <row r="631">
          <cell r="G631">
            <v>45880</v>
          </cell>
        </row>
        <row r="632">
          <cell r="G632">
            <v>45881</v>
          </cell>
        </row>
        <row r="633">
          <cell r="G633">
            <v>45882</v>
          </cell>
        </row>
        <row r="634">
          <cell r="G634">
            <v>45883</v>
          </cell>
        </row>
        <row r="635">
          <cell r="G635">
            <v>45886</v>
          </cell>
        </row>
        <row r="636">
          <cell r="G636">
            <v>45887</v>
          </cell>
        </row>
        <row r="637">
          <cell r="G637">
            <v>45888</v>
          </cell>
        </row>
        <row r="638">
          <cell r="G638">
            <v>45889</v>
          </cell>
        </row>
        <row r="639">
          <cell r="G639">
            <v>45890</v>
          </cell>
        </row>
        <row r="640">
          <cell r="G640">
            <v>45893</v>
          </cell>
        </row>
        <row r="641">
          <cell r="G641">
            <v>45894</v>
          </cell>
        </row>
        <row r="642">
          <cell r="G642">
            <v>45895</v>
          </cell>
        </row>
        <row r="643">
          <cell r="G643">
            <v>45896</v>
          </cell>
        </row>
        <row r="644">
          <cell r="G644">
            <v>45897</v>
          </cell>
        </row>
        <row r="645">
          <cell r="G645">
            <v>45901</v>
          </cell>
        </row>
        <row r="646">
          <cell r="G646">
            <v>45902</v>
          </cell>
        </row>
        <row r="647">
          <cell r="G647">
            <v>45903</v>
          </cell>
        </row>
        <row r="648">
          <cell r="G648">
            <v>45904</v>
          </cell>
        </row>
        <row r="649">
          <cell r="G649">
            <v>45907</v>
          </cell>
        </row>
        <row r="650">
          <cell r="G650">
            <v>45908</v>
          </cell>
        </row>
        <row r="651">
          <cell r="G651">
            <v>45909</v>
          </cell>
        </row>
        <row r="652">
          <cell r="G652">
            <v>45910</v>
          </cell>
        </row>
        <row r="653">
          <cell r="G653">
            <v>45911</v>
          </cell>
        </row>
        <row r="654">
          <cell r="G654">
            <v>45914</v>
          </cell>
        </row>
        <row r="655">
          <cell r="G655">
            <v>45915</v>
          </cell>
        </row>
        <row r="656">
          <cell r="G656">
            <v>45916</v>
          </cell>
        </row>
        <row r="657">
          <cell r="G657">
            <v>45917</v>
          </cell>
        </row>
        <row r="658">
          <cell r="G658">
            <v>45918</v>
          </cell>
        </row>
        <row r="659">
          <cell r="G659">
            <v>45921</v>
          </cell>
        </row>
        <row r="660">
          <cell r="G660">
            <v>45922</v>
          </cell>
        </row>
        <row r="661">
          <cell r="G661">
            <v>45923</v>
          </cell>
        </row>
        <row r="662">
          <cell r="G662">
            <v>45924</v>
          </cell>
        </row>
        <row r="663">
          <cell r="G663">
            <v>45925</v>
          </cell>
        </row>
        <row r="664">
          <cell r="G664">
            <v>45928</v>
          </cell>
        </row>
        <row r="665">
          <cell r="G665">
            <v>45929</v>
          </cell>
        </row>
        <row r="666">
          <cell r="G666">
            <v>45930</v>
          </cell>
        </row>
        <row r="667">
          <cell r="G667">
            <v>45931</v>
          </cell>
        </row>
        <row r="668">
          <cell r="G668">
            <v>45932</v>
          </cell>
        </row>
        <row r="669">
          <cell r="G669">
            <v>45935</v>
          </cell>
        </row>
        <row r="670">
          <cell r="G670">
            <v>45936</v>
          </cell>
        </row>
        <row r="671">
          <cell r="G671">
            <v>45937</v>
          </cell>
        </row>
        <row r="672">
          <cell r="G672">
            <v>45938</v>
          </cell>
        </row>
        <row r="673">
          <cell r="G673">
            <v>45939</v>
          </cell>
        </row>
        <row r="674">
          <cell r="G674">
            <v>45943</v>
          </cell>
        </row>
        <row r="675">
          <cell r="G675">
            <v>45944</v>
          </cell>
        </row>
        <row r="676">
          <cell r="G676">
            <v>45945</v>
          </cell>
        </row>
        <row r="677">
          <cell r="G677">
            <v>45946</v>
          </cell>
        </row>
        <row r="678">
          <cell r="G678">
            <v>45949</v>
          </cell>
        </row>
        <row r="679">
          <cell r="G679">
            <v>45950</v>
          </cell>
        </row>
        <row r="680">
          <cell r="G680">
            <v>45951</v>
          </cell>
        </row>
        <row r="681">
          <cell r="G681">
            <v>45952</v>
          </cell>
        </row>
        <row r="682">
          <cell r="G682">
            <v>45953</v>
          </cell>
        </row>
        <row r="683">
          <cell r="G683">
            <v>45956</v>
          </cell>
        </row>
        <row r="684">
          <cell r="G684">
            <v>45957</v>
          </cell>
        </row>
        <row r="685">
          <cell r="G685">
            <v>45958</v>
          </cell>
        </row>
        <row r="686">
          <cell r="G686">
            <v>45959</v>
          </cell>
        </row>
        <row r="687">
          <cell r="G687">
            <v>45960</v>
          </cell>
        </row>
        <row r="688">
          <cell r="G688">
            <v>45963</v>
          </cell>
        </row>
        <row r="689">
          <cell r="G689">
            <v>45964</v>
          </cell>
        </row>
        <row r="690">
          <cell r="G690">
            <v>45965</v>
          </cell>
        </row>
        <row r="691">
          <cell r="G691">
            <v>45966</v>
          </cell>
        </row>
        <row r="692">
          <cell r="G692">
            <v>45967</v>
          </cell>
        </row>
        <row r="693">
          <cell r="G693">
            <v>45970</v>
          </cell>
        </row>
        <row r="694">
          <cell r="G694">
            <v>45972</v>
          </cell>
        </row>
        <row r="695">
          <cell r="G695">
            <v>45973</v>
          </cell>
        </row>
        <row r="696">
          <cell r="G696">
            <v>45974</v>
          </cell>
        </row>
        <row r="697">
          <cell r="G697">
            <v>45977</v>
          </cell>
        </row>
        <row r="698">
          <cell r="G698">
            <v>45978</v>
          </cell>
        </row>
        <row r="699">
          <cell r="G699">
            <v>45979</v>
          </cell>
        </row>
        <row r="700">
          <cell r="G700">
            <v>45980</v>
          </cell>
        </row>
        <row r="701">
          <cell r="G701">
            <v>45981</v>
          </cell>
        </row>
        <row r="702">
          <cell r="G702">
            <v>45984</v>
          </cell>
        </row>
        <row r="703">
          <cell r="G703">
            <v>45985</v>
          </cell>
        </row>
        <row r="704">
          <cell r="G704">
            <v>45986</v>
          </cell>
        </row>
        <row r="705">
          <cell r="G705">
            <v>45988</v>
          </cell>
        </row>
        <row r="706">
          <cell r="G706">
            <v>45991</v>
          </cell>
        </row>
        <row r="707">
          <cell r="G707">
            <v>45992</v>
          </cell>
        </row>
        <row r="708">
          <cell r="G708">
            <v>45993</v>
          </cell>
        </row>
        <row r="709">
          <cell r="G709">
            <v>45994</v>
          </cell>
        </row>
        <row r="710">
          <cell r="G710">
            <v>45995</v>
          </cell>
        </row>
        <row r="711">
          <cell r="G711">
            <v>45998</v>
          </cell>
        </row>
        <row r="712">
          <cell r="G712">
            <v>45999</v>
          </cell>
        </row>
        <row r="713">
          <cell r="G713">
            <v>46000</v>
          </cell>
        </row>
        <row r="714">
          <cell r="G714">
            <v>46001</v>
          </cell>
        </row>
        <row r="715">
          <cell r="G715">
            <v>46002</v>
          </cell>
        </row>
        <row r="716">
          <cell r="G716">
            <v>46005</v>
          </cell>
        </row>
        <row r="717">
          <cell r="G717">
            <v>46006</v>
          </cell>
        </row>
        <row r="718">
          <cell r="G718">
            <v>46007</v>
          </cell>
        </row>
        <row r="719">
          <cell r="G719">
            <v>46008</v>
          </cell>
        </row>
        <row r="720">
          <cell r="G720">
            <v>46009</v>
          </cell>
        </row>
        <row r="721">
          <cell r="G721">
            <v>46012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HS_Unaccompanied_Alien_Childre"/>
      <sheetName val="Clean_Data"/>
    </sheetNames>
    <sheetDataSet>
      <sheetData sheetId="0">
        <row r="2">
          <cell r="B2">
            <v>33</v>
          </cell>
          <cell r="D2">
            <v>34</v>
          </cell>
          <cell r="E2">
            <v>6566</v>
          </cell>
        </row>
        <row r="3">
          <cell r="B3">
            <v>32</v>
          </cell>
          <cell r="D3">
            <v>39</v>
          </cell>
          <cell r="E3">
            <v>7122</v>
          </cell>
        </row>
        <row r="4">
          <cell r="B4">
            <v>32</v>
          </cell>
          <cell r="D4">
            <v>39</v>
          </cell>
          <cell r="E4">
            <v>7280</v>
          </cell>
        </row>
        <row r="5">
          <cell r="B5">
            <v>47</v>
          </cell>
          <cell r="D5">
            <v>47</v>
          </cell>
          <cell r="E5">
            <v>7433</v>
          </cell>
        </row>
        <row r="6">
          <cell r="B6">
            <v>20</v>
          </cell>
          <cell r="D6">
            <v>41</v>
          </cell>
          <cell r="E6">
            <v>7538</v>
          </cell>
        </row>
        <row r="7">
          <cell r="B7">
            <v>23</v>
          </cell>
          <cell r="D7">
            <v>11</v>
          </cell>
          <cell r="E7">
            <v>7472</v>
          </cell>
        </row>
        <row r="8">
          <cell r="B8">
            <v>34</v>
          </cell>
          <cell r="D8">
            <v>29</v>
          </cell>
          <cell r="E8">
            <v>7743</v>
          </cell>
        </row>
        <row r="9">
          <cell r="B9">
            <v>26</v>
          </cell>
          <cell r="D9">
            <v>36</v>
          </cell>
          <cell r="E9">
            <v>7803</v>
          </cell>
        </row>
        <row r="10">
          <cell r="B10">
            <v>25</v>
          </cell>
          <cell r="D10">
            <v>27</v>
          </cell>
          <cell r="E10">
            <v>7903</v>
          </cell>
        </row>
        <row r="11">
          <cell r="B11">
            <v>15</v>
          </cell>
          <cell r="D11">
            <v>23</v>
          </cell>
          <cell r="E11">
            <v>7879</v>
          </cell>
        </row>
        <row r="12">
          <cell r="B12">
            <v>16</v>
          </cell>
          <cell r="D12">
            <v>15</v>
          </cell>
          <cell r="E12">
            <v>7586</v>
          </cell>
        </row>
        <row r="13">
          <cell r="B13">
            <v>11</v>
          </cell>
          <cell r="D13">
            <v>12</v>
          </cell>
          <cell r="E13">
            <v>7720</v>
          </cell>
        </row>
        <row r="14">
          <cell r="B14">
            <v>16</v>
          </cell>
          <cell r="D14">
            <v>20</v>
          </cell>
          <cell r="E14">
            <v>7855</v>
          </cell>
        </row>
        <row r="15">
          <cell r="B15">
            <v>93</v>
          </cell>
          <cell r="D15">
            <v>169</v>
          </cell>
          <cell r="E15">
            <v>7915</v>
          </cell>
        </row>
        <row r="16">
          <cell r="B16">
            <v>124</v>
          </cell>
          <cell r="D16">
            <v>161</v>
          </cell>
          <cell r="E16">
            <v>7908</v>
          </cell>
        </row>
        <row r="17">
          <cell r="B17">
            <v>92</v>
          </cell>
          <cell r="D17">
            <v>173</v>
          </cell>
          <cell r="E17">
            <v>7434</v>
          </cell>
        </row>
        <row r="18">
          <cell r="B18">
            <v>186</v>
          </cell>
          <cell r="D18">
            <v>172</v>
          </cell>
          <cell r="E18">
            <v>7483</v>
          </cell>
        </row>
        <row r="19">
          <cell r="B19">
            <v>154</v>
          </cell>
          <cell r="D19">
            <v>220</v>
          </cell>
          <cell r="E19">
            <v>7794</v>
          </cell>
        </row>
        <row r="20">
          <cell r="B20">
            <v>91</v>
          </cell>
          <cell r="D20">
            <v>172</v>
          </cell>
          <cell r="E20">
            <v>7869</v>
          </cell>
        </row>
        <row r="21">
          <cell r="B21">
            <v>81</v>
          </cell>
          <cell r="D21">
            <v>153</v>
          </cell>
          <cell r="E21">
            <v>7793</v>
          </cell>
        </row>
        <row r="22">
          <cell r="B22">
            <v>209</v>
          </cell>
          <cell r="D22">
            <v>184</v>
          </cell>
          <cell r="E22">
            <v>7817</v>
          </cell>
        </row>
        <row r="23">
          <cell r="B23">
            <v>184</v>
          </cell>
          <cell r="D23">
            <v>217</v>
          </cell>
          <cell r="E23">
            <v>7967</v>
          </cell>
        </row>
        <row r="24">
          <cell r="B24">
            <v>107</v>
          </cell>
          <cell r="D24">
            <v>230</v>
          </cell>
          <cell r="E24">
            <v>7978</v>
          </cell>
        </row>
        <row r="25">
          <cell r="B25">
            <v>101</v>
          </cell>
          <cell r="D25">
            <v>178</v>
          </cell>
          <cell r="E25">
            <v>7914</v>
          </cell>
        </row>
        <row r="26">
          <cell r="B26">
            <v>99</v>
          </cell>
          <cell r="D26">
            <v>176</v>
          </cell>
          <cell r="E26">
            <v>7609</v>
          </cell>
        </row>
        <row r="27">
          <cell r="B27">
            <v>167</v>
          </cell>
          <cell r="D27">
            <v>166</v>
          </cell>
          <cell r="E27">
            <v>7800</v>
          </cell>
        </row>
        <row r="28">
          <cell r="B28">
            <v>115</v>
          </cell>
          <cell r="D28">
            <v>169</v>
          </cell>
          <cell r="E28">
            <v>7896</v>
          </cell>
        </row>
        <row r="29">
          <cell r="B29">
            <v>84</v>
          </cell>
          <cell r="D29">
            <v>193</v>
          </cell>
          <cell r="E29">
            <v>7930</v>
          </cell>
        </row>
        <row r="30">
          <cell r="B30">
            <v>130</v>
          </cell>
          <cell r="D30">
            <v>192</v>
          </cell>
          <cell r="E30">
            <v>7870</v>
          </cell>
        </row>
        <row r="31">
          <cell r="B31">
            <v>88</v>
          </cell>
          <cell r="D31">
            <v>160</v>
          </cell>
          <cell r="E31">
            <v>7859</v>
          </cell>
        </row>
        <row r="32">
          <cell r="B32">
            <v>113</v>
          </cell>
          <cell r="D32">
            <v>159</v>
          </cell>
          <cell r="E32">
            <v>7885</v>
          </cell>
        </row>
        <row r="33">
          <cell r="B33">
            <v>174</v>
          </cell>
          <cell r="D33">
            <v>150</v>
          </cell>
          <cell r="E33">
            <v>7786</v>
          </cell>
        </row>
        <row r="34">
          <cell r="B34">
            <v>104</v>
          </cell>
          <cell r="D34">
            <v>206</v>
          </cell>
          <cell r="E34">
            <v>7567</v>
          </cell>
        </row>
        <row r="35">
          <cell r="B35">
            <v>147</v>
          </cell>
          <cell r="D35">
            <v>214</v>
          </cell>
          <cell r="E35">
            <v>7810</v>
          </cell>
        </row>
        <row r="36">
          <cell r="B36">
            <v>108</v>
          </cell>
          <cell r="D36">
            <v>213</v>
          </cell>
          <cell r="E36">
            <v>7915</v>
          </cell>
        </row>
        <row r="37">
          <cell r="B37">
            <v>180</v>
          </cell>
          <cell r="D37">
            <v>146</v>
          </cell>
          <cell r="E37">
            <v>7989</v>
          </cell>
        </row>
        <row r="38">
          <cell r="B38">
            <v>134</v>
          </cell>
          <cell r="D38">
            <v>186</v>
          </cell>
          <cell r="E38">
            <v>7885</v>
          </cell>
        </row>
        <row r="39">
          <cell r="B39">
            <v>202</v>
          </cell>
          <cell r="D39">
            <v>158</v>
          </cell>
          <cell r="E39">
            <v>7931</v>
          </cell>
        </row>
        <row r="40">
          <cell r="B40">
            <v>110</v>
          </cell>
          <cell r="D40">
            <v>193</v>
          </cell>
          <cell r="E40">
            <v>8050</v>
          </cell>
        </row>
        <row r="41">
          <cell r="B41">
            <v>166</v>
          </cell>
          <cell r="D41">
            <v>229</v>
          </cell>
          <cell r="E41">
            <v>8097</v>
          </cell>
        </row>
        <row r="42">
          <cell r="B42">
            <v>136</v>
          </cell>
          <cell r="D42">
            <v>178</v>
          </cell>
          <cell r="E42">
            <v>8102</v>
          </cell>
        </row>
        <row r="43">
          <cell r="B43">
            <v>87</v>
          </cell>
          <cell r="D43">
            <v>173</v>
          </cell>
          <cell r="E43">
            <v>7847</v>
          </cell>
        </row>
        <row r="44">
          <cell r="B44">
            <v>84</v>
          </cell>
          <cell r="D44">
            <v>157</v>
          </cell>
          <cell r="E44">
            <v>7994</v>
          </cell>
        </row>
        <row r="45">
          <cell r="B45">
            <v>167</v>
          </cell>
          <cell r="D45">
            <v>157</v>
          </cell>
          <cell r="E45">
            <v>8079</v>
          </cell>
        </row>
        <row r="46">
          <cell r="B46">
            <v>109</v>
          </cell>
          <cell r="D46">
            <v>159</v>
          </cell>
          <cell r="E46">
            <v>8208</v>
          </cell>
        </row>
        <row r="47">
          <cell r="B47">
            <v>156</v>
          </cell>
          <cell r="D47">
            <v>176</v>
          </cell>
          <cell r="E47">
            <v>8158</v>
          </cell>
        </row>
        <row r="48">
          <cell r="B48">
            <v>125</v>
          </cell>
          <cell r="D48">
            <v>192</v>
          </cell>
          <cell r="E48">
            <v>7981</v>
          </cell>
        </row>
        <row r="49">
          <cell r="B49">
            <v>118</v>
          </cell>
          <cell r="D49">
            <v>168</v>
          </cell>
          <cell r="E49">
            <v>8054</v>
          </cell>
        </row>
        <row r="50">
          <cell r="B50">
            <v>142</v>
          </cell>
          <cell r="D50">
            <v>139</v>
          </cell>
          <cell r="E50">
            <v>8068</v>
          </cell>
        </row>
        <row r="51">
          <cell r="B51">
            <v>148</v>
          </cell>
          <cell r="D51">
            <v>175</v>
          </cell>
          <cell r="E51">
            <v>8175</v>
          </cell>
        </row>
        <row r="52">
          <cell r="B52">
            <v>119</v>
          </cell>
          <cell r="D52">
            <v>210</v>
          </cell>
          <cell r="E52">
            <v>8178</v>
          </cell>
        </row>
        <row r="53">
          <cell r="B53">
            <v>105</v>
          </cell>
          <cell r="D53">
            <v>149</v>
          </cell>
          <cell r="E53">
            <v>7900</v>
          </cell>
        </row>
        <row r="54">
          <cell r="B54">
            <v>143</v>
          </cell>
          <cell r="D54">
            <v>163</v>
          </cell>
          <cell r="E54">
            <v>7826</v>
          </cell>
        </row>
        <row r="55">
          <cell r="B55">
            <v>119</v>
          </cell>
          <cell r="D55">
            <v>152</v>
          </cell>
          <cell r="E55">
            <v>7922</v>
          </cell>
        </row>
        <row r="56">
          <cell r="B56">
            <v>155</v>
          </cell>
          <cell r="D56">
            <v>181</v>
          </cell>
          <cell r="E56">
            <v>7876</v>
          </cell>
        </row>
        <row r="57">
          <cell r="B57">
            <v>109</v>
          </cell>
          <cell r="D57">
            <v>173</v>
          </cell>
          <cell r="E57">
            <v>7795</v>
          </cell>
        </row>
        <row r="58">
          <cell r="B58">
            <v>191</v>
          </cell>
          <cell r="D58">
            <v>192</v>
          </cell>
          <cell r="E58">
            <v>7380</v>
          </cell>
        </row>
        <row r="59">
          <cell r="B59">
            <v>170</v>
          </cell>
          <cell r="D59">
            <v>196</v>
          </cell>
          <cell r="E59">
            <v>7344</v>
          </cell>
        </row>
        <row r="60">
          <cell r="B60">
            <v>152</v>
          </cell>
          <cell r="D60">
            <v>214</v>
          </cell>
          <cell r="E60">
            <v>7376</v>
          </cell>
        </row>
        <row r="61">
          <cell r="B61">
            <v>239</v>
          </cell>
          <cell r="D61">
            <v>224</v>
          </cell>
          <cell r="E61">
            <v>7356</v>
          </cell>
        </row>
        <row r="62">
          <cell r="B62">
            <v>113</v>
          </cell>
          <cell r="D62">
            <v>237</v>
          </cell>
          <cell r="E62">
            <v>7490</v>
          </cell>
        </row>
        <row r="63">
          <cell r="B63">
            <v>196</v>
          </cell>
          <cell r="D63">
            <v>187</v>
          </cell>
          <cell r="E63">
            <v>7534</v>
          </cell>
        </row>
        <row r="64">
          <cell r="B64">
            <v>236</v>
          </cell>
          <cell r="D64">
            <v>222</v>
          </cell>
          <cell r="E64">
            <v>7796</v>
          </cell>
        </row>
        <row r="65">
          <cell r="B65">
            <v>81</v>
          </cell>
          <cell r="D65">
            <v>242</v>
          </cell>
          <cell r="E65">
            <v>8017</v>
          </cell>
        </row>
        <row r="66">
          <cell r="B66">
            <v>118</v>
          </cell>
          <cell r="D66">
            <v>160</v>
          </cell>
          <cell r="E66">
            <v>8117</v>
          </cell>
        </row>
        <row r="67">
          <cell r="B67">
            <v>218</v>
          </cell>
          <cell r="D67">
            <v>208</v>
          </cell>
          <cell r="E67">
            <v>8159</v>
          </cell>
        </row>
        <row r="68">
          <cell r="B68">
            <v>132</v>
          </cell>
          <cell r="D68">
            <v>183</v>
          </cell>
          <cell r="E68">
            <v>8352</v>
          </cell>
        </row>
        <row r="69">
          <cell r="B69">
            <v>224</v>
          </cell>
          <cell r="D69">
            <v>152</v>
          </cell>
          <cell r="E69">
            <v>8492</v>
          </cell>
        </row>
        <row r="70">
          <cell r="B70">
            <v>167</v>
          </cell>
          <cell r="D70">
            <v>213</v>
          </cell>
          <cell r="E70">
            <v>8654</v>
          </cell>
        </row>
        <row r="71">
          <cell r="B71">
            <v>209</v>
          </cell>
          <cell r="D71">
            <v>232</v>
          </cell>
          <cell r="E71">
            <v>8704</v>
          </cell>
        </row>
        <row r="72">
          <cell r="B72">
            <v>153</v>
          </cell>
          <cell r="D72">
            <v>286</v>
          </cell>
          <cell r="E72">
            <v>8790</v>
          </cell>
        </row>
        <row r="73">
          <cell r="B73">
            <v>180</v>
          </cell>
          <cell r="D73">
            <v>219</v>
          </cell>
          <cell r="E73">
            <v>8485</v>
          </cell>
        </row>
        <row r="74">
          <cell r="B74">
            <v>133</v>
          </cell>
          <cell r="D74">
            <v>189</v>
          </cell>
          <cell r="E74">
            <v>8590</v>
          </cell>
        </row>
        <row r="75">
          <cell r="B75">
            <v>187</v>
          </cell>
          <cell r="D75">
            <v>247</v>
          </cell>
          <cell r="E75">
            <v>8606</v>
          </cell>
        </row>
        <row r="76">
          <cell r="B76">
            <v>168</v>
          </cell>
          <cell r="D76">
            <v>210</v>
          </cell>
          <cell r="E76">
            <v>8681</v>
          </cell>
        </row>
        <row r="77">
          <cell r="B77">
            <v>269</v>
          </cell>
          <cell r="D77">
            <v>204</v>
          </cell>
          <cell r="E77">
            <v>8672</v>
          </cell>
        </row>
        <row r="78">
          <cell r="B78">
            <v>100</v>
          </cell>
          <cell r="D78">
            <v>236</v>
          </cell>
          <cell r="E78">
            <v>8445</v>
          </cell>
        </row>
        <row r="79">
          <cell r="B79">
            <v>205</v>
          </cell>
          <cell r="D79">
            <v>177</v>
          </cell>
          <cell r="E79">
            <v>8571</v>
          </cell>
        </row>
        <row r="80">
          <cell r="B80">
            <v>161</v>
          </cell>
          <cell r="D80">
            <v>211</v>
          </cell>
          <cell r="E80">
            <v>8572</v>
          </cell>
        </row>
        <row r="81">
          <cell r="B81">
            <v>57</v>
          </cell>
          <cell r="D81">
            <v>193</v>
          </cell>
          <cell r="E81">
            <v>8569</v>
          </cell>
        </row>
        <row r="82">
          <cell r="B82">
            <v>80</v>
          </cell>
          <cell r="D82">
            <v>152</v>
          </cell>
          <cell r="E82">
            <v>8474</v>
          </cell>
        </row>
        <row r="83">
          <cell r="B83">
            <v>107</v>
          </cell>
          <cell r="D83">
            <v>133</v>
          </cell>
          <cell r="E83">
            <v>7826</v>
          </cell>
        </row>
        <row r="84">
          <cell r="B84">
            <v>99</v>
          </cell>
          <cell r="D84">
            <v>139</v>
          </cell>
          <cell r="E84">
            <v>7848</v>
          </cell>
        </row>
        <row r="85">
          <cell r="B85">
            <v>25</v>
          </cell>
          <cell r="D85">
            <v>94</v>
          </cell>
          <cell r="E85">
            <v>7788</v>
          </cell>
        </row>
        <row r="86">
          <cell r="B86">
            <v>35</v>
          </cell>
          <cell r="D86">
            <v>53</v>
          </cell>
          <cell r="E86">
            <v>7709</v>
          </cell>
        </row>
        <row r="87">
          <cell r="B87">
            <v>43</v>
          </cell>
          <cell r="D87">
            <v>64</v>
          </cell>
          <cell r="E87">
            <v>7546</v>
          </cell>
        </row>
        <row r="88">
          <cell r="B88">
            <v>41</v>
          </cell>
          <cell r="D88">
            <v>71</v>
          </cell>
          <cell r="E88">
            <v>6996</v>
          </cell>
        </row>
        <row r="89">
          <cell r="B89">
            <v>65</v>
          </cell>
          <cell r="D89">
            <v>65</v>
          </cell>
          <cell r="E89">
            <v>7046</v>
          </cell>
        </row>
        <row r="90">
          <cell r="B90">
            <v>38</v>
          </cell>
          <cell r="D90">
            <v>82</v>
          </cell>
          <cell r="E90">
            <v>7053</v>
          </cell>
        </row>
        <row r="91">
          <cell r="B91">
            <v>56</v>
          </cell>
          <cell r="D91">
            <v>68</v>
          </cell>
          <cell r="E91">
            <v>7002</v>
          </cell>
        </row>
        <row r="92">
          <cell r="B92">
            <v>74</v>
          </cell>
          <cell r="D92">
            <v>80</v>
          </cell>
          <cell r="E92">
            <v>6555</v>
          </cell>
        </row>
        <row r="93">
          <cell r="B93">
            <v>68</v>
          </cell>
          <cell r="D93">
            <v>102</v>
          </cell>
          <cell r="E93">
            <v>6523</v>
          </cell>
        </row>
        <row r="94">
          <cell r="B94">
            <v>92</v>
          </cell>
          <cell r="D94">
            <v>93</v>
          </cell>
          <cell r="E94">
            <v>6508</v>
          </cell>
        </row>
        <row r="95">
          <cell r="B95">
            <v>113</v>
          </cell>
          <cell r="D95">
            <v>107</v>
          </cell>
          <cell r="E95">
            <v>6483</v>
          </cell>
        </row>
        <row r="96">
          <cell r="B96">
            <v>106</v>
          </cell>
          <cell r="D96">
            <v>131</v>
          </cell>
          <cell r="E96">
            <v>6446</v>
          </cell>
        </row>
        <row r="97">
          <cell r="B97">
            <v>86</v>
          </cell>
          <cell r="D97">
            <v>168</v>
          </cell>
          <cell r="E97">
            <v>6007</v>
          </cell>
        </row>
        <row r="98">
          <cell r="B98">
            <v>84</v>
          </cell>
          <cell r="D98">
            <v>136</v>
          </cell>
          <cell r="E98">
            <v>6021</v>
          </cell>
        </row>
        <row r="99">
          <cell r="B99">
            <v>59</v>
          </cell>
          <cell r="D99">
            <v>117</v>
          </cell>
          <cell r="E99">
            <v>6061</v>
          </cell>
        </row>
        <row r="100">
          <cell r="B100">
            <v>62</v>
          </cell>
          <cell r="D100">
            <v>52</v>
          </cell>
          <cell r="E100">
            <v>6065</v>
          </cell>
        </row>
        <row r="101">
          <cell r="B101">
            <v>91</v>
          </cell>
          <cell r="D101">
            <v>97</v>
          </cell>
          <cell r="E101">
            <v>6038</v>
          </cell>
        </row>
        <row r="102">
          <cell r="B102">
            <v>29</v>
          </cell>
          <cell r="D102">
            <v>11</v>
          </cell>
          <cell r="E102">
            <v>5679</v>
          </cell>
        </row>
        <row r="103">
          <cell r="B103">
            <v>33</v>
          </cell>
          <cell r="D103">
            <v>34</v>
          </cell>
          <cell r="E103">
            <v>5904</v>
          </cell>
        </row>
        <row r="104">
          <cell r="B104">
            <v>93</v>
          </cell>
          <cell r="D104">
            <v>169</v>
          </cell>
          <cell r="E104">
            <v>5922</v>
          </cell>
        </row>
        <row r="105">
          <cell r="B105">
            <v>124</v>
          </cell>
          <cell r="D105">
            <v>161</v>
          </cell>
          <cell r="E105">
            <v>5956</v>
          </cell>
        </row>
        <row r="106">
          <cell r="B106">
            <v>92</v>
          </cell>
          <cell r="D106">
            <v>173</v>
          </cell>
          <cell r="E106">
            <v>5766</v>
          </cell>
        </row>
        <row r="107">
          <cell r="B107">
            <v>186</v>
          </cell>
          <cell r="D107">
            <v>172</v>
          </cell>
          <cell r="E107">
            <v>5819</v>
          </cell>
        </row>
        <row r="108">
          <cell r="B108">
            <v>154</v>
          </cell>
          <cell r="D108">
            <v>220</v>
          </cell>
          <cell r="E108">
            <v>5917</v>
          </cell>
        </row>
        <row r="109">
          <cell r="B109">
            <v>91</v>
          </cell>
          <cell r="D109">
            <v>172</v>
          </cell>
          <cell r="E109">
            <v>5999</v>
          </cell>
        </row>
        <row r="110">
          <cell r="B110">
            <v>81</v>
          </cell>
          <cell r="D110">
            <v>153</v>
          </cell>
          <cell r="E110">
            <v>6058</v>
          </cell>
        </row>
        <row r="111">
          <cell r="B111">
            <v>209</v>
          </cell>
          <cell r="D111">
            <v>184</v>
          </cell>
          <cell r="E111">
            <v>5903</v>
          </cell>
        </row>
        <row r="112">
          <cell r="B112">
            <v>184</v>
          </cell>
          <cell r="D112">
            <v>217</v>
          </cell>
          <cell r="E112">
            <v>6127</v>
          </cell>
        </row>
        <row r="113">
          <cell r="B113">
            <v>107</v>
          </cell>
          <cell r="D113">
            <v>230</v>
          </cell>
          <cell r="E113">
            <v>6193</v>
          </cell>
        </row>
        <row r="114">
          <cell r="B114">
            <v>101</v>
          </cell>
          <cell r="D114">
            <v>178</v>
          </cell>
          <cell r="E114">
            <v>6239</v>
          </cell>
        </row>
        <row r="115">
          <cell r="B115">
            <v>99</v>
          </cell>
          <cell r="D115">
            <v>176</v>
          </cell>
          <cell r="E115">
            <v>6214</v>
          </cell>
        </row>
        <row r="116">
          <cell r="B116">
            <v>167</v>
          </cell>
          <cell r="D116">
            <v>166</v>
          </cell>
          <cell r="E116">
            <v>6346</v>
          </cell>
        </row>
        <row r="117">
          <cell r="B117">
            <v>115</v>
          </cell>
          <cell r="D117">
            <v>169</v>
          </cell>
          <cell r="E117">
            <v>6498</v>
          </cell>
        </row>
        <row r="118">
          <cell r="B118">
            <v>84</v>
          </cell>
          <cell r="D118">
            <v>193</v>
          </cell>
          <cell r="E118">
            <v>6521</v>
          </cell>
        </row>
        <row r="119">
          <cell r="B119">
            <v>130</v>
          </cell>
          <cell r="D119">
            <v>192</v>
          </cell>
          <cell r="E119">
            <v>6604</v>
          </cell>
        </row>
        <row r="120">
          <cell r="B120">
            <v>88</v>
          </cell>
          <cell r="D120">
            <v>160</v>
          </cell>
          <cell r="E120">
            <v>6468</v>
          </cell>
        </row>
        <row r="121">
          <cell r="B121">
            <v>113</v>
          </cell>
          <cell r="D121">
            <v>159</v>
          </cell>
          <cell r="E121">
            <v>6632</v>
          </cell>
        </row>
        <row r="122">
          <cell r="B122">
            <v>174</v>
          </cell>
          <cell r="D122">
            <v>150</v>
          </cell>
          <cell r="E122">
            <v>6874</v>
          </cell>
        </row>
        <row r="123">
          <cell r="B123">
            <v>104</v>
          </cell>
          <cell r="D123">
            <v>206</v>
          </cell>
          <cell r="E123">
            <v>7001</v>
          </cell>
        </row>
        <row r="124">
          <cell r="B124">
            <v>147</v>
          </cell>
          <cell r="D124">
            <v>214</v>
          </cell>
          <cell r="E124">
            <v>7116</v>
          </cell>
        </row>
        <row r="125">
          <cell r="B125">
            <v>108</v>
          </cell>
          <cell r="D125">
            <v>213</v>
          </cell>
          <cell r="E125">
            <v>7052</v>
          </cell>
        </row>
        <row r="126">
          <cell r="B126">
            <v>180</v>
          </cell>
          <cell r="D126">
            <v>146</v>
          </cell>
          <cell r="E126">
            <v>7220</v>
          </cell>
        </row>
        <row r="127">
          <cell r="B127">
            <v>134</v>
          </cell>
          <cell r="D127">
            <v>186</v>
          </cell>
          <cell r="E127">
            <v>7510</v>
          </cell>
        </row>
        <row r="128">
          <cell r="B128">
            <v>202</v>
          </cell>
          <cell r="D128">
            <v>158</v>
          </cell>
          <cell r="E128">
            <v>7647</v>
          </cell>
        </row>
        <row r="129">
          <cell r="B129">
            <v>110</v>
          </cell>
          <cell r="D129">
            <v>193</v>
          </cell>
          <cell r="E129">
            <v>7754</v>
          </cell>
        </row>
        <row r="130">
          <cell r="B130">
            <v>166</v>
          </cell>
          <cell r="D130">
            <v>229</v>
          </cell>
          <cell r="E130">
            <v>7671</v>
          </cell>
        </row>
        <row r="131">
          <cell r="B131">
            <v>136</v>
          </cell>
          <cell r="D131">
            <v>178</v>
          </cell>
          <cell r="E131">
            <v>7800</v>
          </cell>
        </row>
        <row r="132">
          <cell r="B132">
            <v>87</v>
          </cell>
          <cell r="D132">
            <v>173</v>
          </cell>
          <cell r="E132">
            <v>8103</v>
          </cell>
        </row>
        <row r="133">
          <cell r="B133">
            <v>84</v>
          </cell>
          <cell r="D133">
            <v>157</v>
          </cell>
          <cell r="E133">
            <v>8261</v>
          </cell>
        </row>
        <row r="134">
          <cell r="B134">
            <v>167</v>
          </cell>
          <cell r="D134">
            <v>157</v>
          </cell>
          <cell r="E134">
            <v>8294</v>
          </cell>
        </row>
        <row r="135">
          <cell r="B135">
            <v>109</v>
          </cell>
          <cell r="D135">
            <v>159</v>
          </cell>
          <cell r="E135">
            <v>8298</v>
          </cell>
        </row>
        <row r="136">
          <cell r="B136">
            <v>156</v>
          </cell>
          <cell r="D136">
            <v>176</v>
          </cell>
          <cell r="E136">
            <v>8493</v>
          </cell>
        </row>
        <row r="137">
          <cell r="B137">
            <v>125</v>
          </cell>
          <cell r="D137">
            <v>192</v>
          </cell>
          <cell r="E137">
            <v>8725</v>
          </cell>
        </row>
        <row r="138">
          <cell r="B138">
            <v>118</v>
          </cell>
          <cell r="D138">
            <v>168</v>
          </cell>
          <cell r="E138">
            <v>8888</v>
          </cell>
        </row>
        <row r="139">
          <cell r="B139">
            <v>142</v>
          </cell>
          <cell r="D139">
            <v>139</v>
          </cell>
          <cell r="E139">
            <v>8914</v>
          </cell>
        </row>
        <row r="140">
          <cell r="B140">
            <v>148</v>
          </cell>
          <cell r="D140">
            <v>175</v>
          </cell>
          <cell r="E140">
            <v>9634</v>
          </cell>
        </row>
        <row r="141">
          <cell r="B141">
            <v>119</v>
          </cell>
          <cell r="D141">
            <v>210</v>
          </cell>
          <cell r="E141">
            <v>9694</v>
          </cell>
        </row>
        <row r="142">
          <cell r="B142">
            <v>105</v>
          </cell>
          <cell r="D142">
            <v>149</v>
          </cell>
          <cell r="E142">
            <v>9483</v>
          </cell>
        </row>
        <row r="143">
          <cell r="B143">
            <v>143</v>
          </cell>
          <cell r="D143">
            <v>163</v>
          </cell>
          <cell r="E143">
            <v>9668</v>
          </cell>
        </row>
        <row r="144">
          <cell r="B144">
            <v>119</v>
          </cell>
          <cell r="D144">
            <v>152</v>
          </cell>
          <cell r="E144">
            <v>9921</v>
          </cell>
        </row>
        <row r="145">
          <cell r="B145">
            <v>155</v>
          </cell>
          <cell r="D145">
            <v>181</v>
          </cell>
          <cell r="E145">
            <v>10071</v>
          </cell>
        </row>
        <row r="146">
          <cell r="B146">
            <v>109</v>
          </cell>
          <cell r="D146">
            <v>173</v>
          </cell>
          <cell r="E146">
            <v>10026</v>
          </cell>
        </row>
        <row r="147">
          <cell r="B147">
            <v>191</v>
          </cell>
          <cell r="D147">
            <v>192</v>
          </cell>
          <cell r="E147">
            <v>9873</v>
          </cell>
        </row>
        <row r="148">
          <cell r="B148">
            <v>170</v>
          </cell>
          <cell r="D148">
            <v>196</v>
          </cell>
          <cell r="E148">
            <v>10012</v>
          </cell>
        </row>
        <row r="149">
          <cell r="B149">
            <v>152</v>
          </cell>
          <cell r="D149">
            <v>214</v>
          </cell>
          <cell r="E149">
            <v>10180</v>
          </cell>
        </row>
        <row r="150">
          <cell r="B150">
            <v>239</v>
          </cell>
          <cell r="D150">
            <v>224</v>
          </cell>
          <cell r="E150">
            <v>10280</v>
          </cell>
        </row>
        <row r="151">
          <cell r="B151">
            <v>113</v>
          </cell>
          <cell r="D151">
            <v>237</v>
          </cell>
          <cell r="E151">
            <v>10140</v>
          </cell>
        </row>
        <row r="152">
          <cell r="B152">
            <v>196</v>
          </cell>
          <cell r="D152">
            <v>187</v>
          </cell>
          <cell r="E152">
            <v>9988</v>
          </cell>
        </row>
        <row r="153">
          <cell r="B153">
            <v>236</v>
          </cell>
          <cell r="D153">
            <v>222</v>
          </cell>
          <cell r="E153">
            <v>10142</v>
          </cell>
        </row>
        <row r="154">
          <cell r="B154">
            <v>81</v>
          </cell>
          <cell r="D154">
            <v>242</v>
          </cell>
          <cell r="E154">
            <v>10356</v>
          </cell>
        </row>
        <row r="155">
          <cell r="B155">
            <v>118</v>
          </cell>
          <cell r="D155">
            <v>160</v>
          </cell>
          <cell r="E155">
            <v>10419</v>
          </cell>
        </row>
        <row r="156">
          <cell r="B156">
            <v>218</v>
          </cell>
          <cell r="D156">
            <v>208</v>
          </cell>
          <cell r="E156">
            <v>10282</v>
          </cell>
        </row>
        <row r="157">
          <cell r="B157">
            <v>132</v>
          </cell>
          <cell r="D157">
            <v>183</v>
          </cell>
          <cell r="E157">
            <v>10492</v>
          </cell>
        </row>
        <row r="158">
          <cell r="B158">
            <v>224</v>
          </cell>
          <cell r="D158">
            <v>152</v>
          </cell>
          <cell r="E158">
            <v>10649</v>
          </cell>
        </row>
        <row r="159">
          <cell r="B159">
            <v>167</v>
          </cell>
          <cell r="D159">
            <v>213</v>
          </cell>
          <cell r="E159">
            <v>10678</v>
          </cell>
        </row>
        <row r="160">
          <cell r="B160">
            <v>209</v>
          </cell>
          <cell r="D160">
            <v>232</v>
          </cell>
          <cell r="E160">
            <v>10837</v>
          </cell>
        </row>
        <row r="161">
          <cell r="B161">
            <v>153</v>
          </cell>
          <cell r="D161">
            <v>286</v>
          </cell>
          <cell r="E161">
            <v>10799</v>
          </cell>
        </row>
        <row r="162">
          <cell r="B162">
            <v>180</v>
          </cell>
          <cell r="D162">
            <v>219</v>
          </cell>
          <cell r="E162">
            <v>10892</v>
          </cell>
        </row>
        <row r="163">
          <cell r="B163">
            <v>133</v>
          </cell>
          <cell r="D163">
            <v>189</v>
          </cell>
          <cell r="E163">
            <v>11095</v>
          </cell>
        </row>
        <row r="164">
          <cell r="B164">
            <v>187</v>
          </cell>
          <cell r="D164">
            <v>247</v>
          </cell>
          <cell r="E164">
            <v>11064</v>
          </cell>
        </row>
        <row r="165">
          <cell r="B165">
            <v>168</v>
          </cell>
          <cell r="D165">
            <v>210</v>
          </cell>
          <cell r="E165">
            <v>11067</v>
          </cell>
        </row>
        <row r="166">
          <cell r="B166">
            <v>269</v>
          </cell>
          <cell r="D166">
            <v>204</v>
          </cell>
          <cell r="E166">
            <v>10744</v>
          </cell>
        </row>
        <row r="167">
          <cell r="B167">
            <v>100</v>
          </cell>
          <cell r="D167">
            <v>236</v>
          </cell>
          <cell r="E167">
            <v>10842</v>
          </cell>
        </row>
        <row r="168">
          <cell r="B168">
            <v>205</v>
          </cell>
          <cell r="D168">
            <v>177</v>
          </cell>
          <cell r="E168">
            <v>10978</v>
          </cell>
        </row>
        <row r="169">
          <cell r="B169">
            <v>161</v>
          </cell>
          <cell r="D169">
            <v>211</v>
          </cell>
          <cell r="E169">
            <v>11017</v>
          </cell>
        </row>
        <row r="170">
          <cell r="B170">
            <v>57</v>
          </cell>
          <cell r="D170">
            <v>193</v>
          </cell>
          <cell r="E170">
            <v>10984</v>
          </cell>
        </row>
        <row r="171">
          <cell r="B171">
            <v>80</v>
          </cell>
          <cell r="D171">
            <v>152</v>
          </cell>
          <cell r="E171">
            <v>10598</v>
          </cell>
        </row>
        <row r="172">
          <cell r="B172">
            <v>107</v>
          </cell>
          <cell r="D172">
            <v>133</v>
          </cell>
          <cell r="E172">
            <v>10724</v>
          </cell>
        </row>
        <row r="173">
          <cell r="B173">
            <v>99</v>
          </cell>
          <cell r="D173">
            <v>139</v>
          </cell>
          <cell r="E173">
            <v>10818</v>
          </cell>
        </row>
        <row r="174">
          <cell r="B174">
            <v>25</v>
          </cell>
          <cell r="D174">
            <v>94</v>
          </cell>
          <cell r="E174">
            <v>10963</v>
          </cell>
        </row>
        <row r="175">
          <cell r="B175">
            <v>35</v>
          </cell>
          <cell r="D175">
            <v>53</v>
          </cell>
          <cell r="E175">
            <v>11130</v>
          </cell>
        </row>
        <row r="176">
          <cell r="B176">
            <v>43</v>
          </cell>
          <cell r="D176">
            <v>64</v>
          </cell>
          <cell r="E176">
            <v>10815</v>
          </cell>
        </row>
        <row r="177">
          <cell r="B177">
            <v>41</v>
          </cell>
          <cell r="D177">
            <v>71</v>
          </cell>
          <cell r="E177">
            <v>10910</v>
          </cell>
        </row>
        <row r="178">
          <cell r="B178">
            <v>65</v>
          </cell>
          <cell r="D178">
            <v>65</v>
          </cell>
          <cell r="E178">
            <v>10960</v>
          </cell>
        </row>
        <row r="179">
          <cell r="B179">
            <v>38</v>
          </cell>
          <cell r="D179">
            <v>82</v>
          </cell>
          <cell r="E179">
            <v>10992</v>
          </cell>
        </row>
        <row r="180">
          <cell r="B180">
            <v>56</v>
          </cell>
          <cell r="D180">
            <v>68</v>
          </cell>
          <cell r="E180">
            <v>10571</v>
          </cell>
        </row>
        <row r="181">
          <cell r="B181">
            <v>74</v>
          </cell>
          <cell r="D181">
            <v>80</v>
          </cell>
          <cell r="E181">
            <v>10629</v>
          </cell>
        </row>
        <row r="182">
          <cell r="B182">
            <v>68</v>
          </cell>
          <cell r="D182">
            <v>102</v>
          </cell>
          <cell r="E182">
            <v>10630</v>
          </cell>
        </row>
        <row r="183">
          <cell r="B183">
            <v>92</v>
          </cell>
          <cell r="D183">
            <v>93</v>
          </cell>
          <cell r="E183">
            <v>10511</v>
          </cell>
        </row>
        <row r="184">
          <cell r="B184">
            <v>113</v>
          </cell>
          <cell r="D184">
            <v>107</v>
          </cell>
          <cell r="E184">
            <v>10319</v>
          </cell>
        </row>
        <row r="185">
          <cell r="B185">
            <v>106</v>
          </cell>
          <cell r="D185">
            <v>131</v>
          </cell>
          <cell r="E185">
            <v>9506</v>
          </cell>
        </row>
        <row r="186">
          <cell r="B186">
            <v>86</v>
          </cell>
          <cell r="D186">
            <v>168</v>
          </cell>
          <cell r="E186">
            <v>9436</v>
          </cell>
        </row>
        <row r="187">
          <cell r="B187">
            <v>84</v>
          </cell>
          <cell r="D187">
            <v>136</v>
          </cell>
          <cell r="E187">
            <v>9396</v>
          </cell>
        </row>
        <row r="188">
          <cell r="B188">
            <v>59</v>
          </cell>
          <cell r="D188">
            <v>117</v>
          </cell>
          <cell r="E188">
            <v>9351</v>
          </cell>
        </row>
        <row r="189">
          <cell r="B189">
            <v>62</v>
          </cell>
          <cell r="D189">
            <v>52</v>
          </cell>
          <cell r="E189">
            <v>9235</v>
          </cell>
        </row>
        <row r="190">
          <cell r="B190">
            <v>91</v>
          </cell>
          <cell r="D190">
            <v>97</v>
          </cell>
          <cell r="E190">
            <v>8925</v>
          </cell>
        </row>
        <row r="191">
          <cell r="B191">
            <v>29</v>
          </cell>
          <cell r="D191">
            <v>11</v>
          </cell>
          <cell r="E191">
            <v>9026</v>
          </cell>
        </row>
        <row r="192">
          <cell r="B192">
            <v>33</v>
          </cell>
          <cell r="D192">
            <v>34</v>
          </cell>
          <cell r="E192">
            <v>9072</v>
          </cell>
        </row>
        <row r="193">
          <cell r="B193">
            <v>132</v>
          </cell>
          <cell r="D193">
            <v>197</v>
          </cell>
          <cell r="E193">
            <v>9250</v>
          </cell>
        </row>
        <row r="194">
          <cell r="B194">
            <v>174</v>
          </cell>
          <cell r="D194">
            <v>256</v>
          </cell>
          <cell r="E194">
            <v>9442</v>
          </cell>
        </row>
        <row r="195">
          <cell r="B195">
            <v>123</v>
          </cell>
          <cell r="D195">
            <v>167</v>
          </cell>
          <cell r="E195">
            <v>9273</v>
          </cell>
        </row>
        <row r="196">
          <cell r="B196">
            <v>123</v>
          </cell>
          <cell r="D196">
            <v>159</v>
          </cell>
          <cell r="E196">
            <v>9286</v>
          </cell>
        </row>
        <row r="197">
          <cell r="B197">
            <v>141</v>
          </cell>
          <cell r="D197">
            <v>188</v>
          </cell>
          <cell r="E197">
            <v>9483</v>
          </cell>
        </row>
        <row r="198">
          <cell r="B198">
            <v>158</v>
          </cell>
          <cell r="D198">
            <v>191</v>
          </cell>
          <cell r="E198">
            <v>9634</v>
          </cell>
        </row>
        <row r="199">
          <cell r="B199">
            <v>96</v>
          </cell>
          <cell r="D199">
            <v>233</v>
          </cell>
          <cell r="E199">
            <v>9477</v>
          </cell>
        </row>
        <row r="200">
          <cell r="B200">
            <v>141</v>
          </cell>
          <cell r="D200">
            <v>129</v>
          </cell>
          <cell r="E200">
            <v>9510</v>
          </cell>
        </row>
        <row r="201">
          <cell r="B201">
            <v>116</v>
          </cell>
          <cell r="D201">
            <v>182</v>
          </cell>
          <cell r="E201">
            <v>9665</v>
          </cell>
        </row>
        <row r="202">
          <cell r="B202">
            <v>150</v>
          </cell>
          <cell r="D202">
            <v>201</v>
          </cell>
          <cell r="E202">
            <v>9762</v>
          </cell>
        </row>
        <row r="203">
          <cell r="B203">
            <v>80</v>
          </cell>
          <cell r="D203">
            <v>125</v>
          </cell>
          <cell r="E203">
            <v>9762</v>
          </cell>
        </row>
        <row r="204">
          <cell r="B204">
            <v>116</v>
          </cell>
          <cell r="D204">
            <v>164</v>
          </cell>
          <cell r="E204">
            <v>9573</v>
          </cell>
        </row>
        <row r="205">
          <cell r="B205">
            <v>105</v>
          </cell>
          <cell r="D205">
            <v>158</v>
          </cell>
          <cell r="E205">
            <v>9638</v>
          </cell>
        </row>
        <row r="206">
          <cell r="B206">
            <v>136</v>
          </cell>
          <cell r="D206">
            <v>123</v>
          </cell>
          <cell r="E206">
            <v>9804</v>
          </cell>
        </row>
        <row r="207">
          <cell r="B207">
            <v>128</v>
          </cell>
          <cell r="D207">
            <v>177</v>
          </cell>
          <cell r="E207">
            <v>9838</v>
          </cell>
        </row>
        <row r="208">
          <cell r="B208">
            <v>90</v>
          </cell>
          <cell r="D208">
            <v>205</v>
          </cell>
          <cell r="E208">
            <v>9845</v>
          </cell>
        </row>
        <row r="209">
          <cell r="B209">
            <v>56</v>
          </cell>
          <cell r="D209">
            <v>68</v>
          </cell>
          <cell r="E209">
            <v>10123</v>
          </cell>
        </row>
        <row r="210">
          <cell r="B210">
            <v>74</v>
          </cell>
          <cell r="D210">
            <v>80</v>
          </cell>
          <cell r="E210">
            <v>10223</v>
          </cell>
        </row>
        <row r="211">
          <cell r="B211">
            <v>68</v>
          </cell>
          <cell r="D211">
            <v>102</v>
          </cell>
          <cell r="E211">
            <v>10398</v>
          </cell>
        </row>
        <row r="212">
          <cell r="B212">
            <v>92</v>
          </cell>
          <cell r="D212">
            <v>93</v>
          </cell>
          <cell r="E212">
            <v>10536</v>
          </cell>
        </row>
        <row r="213">
          <cell r="B213">
            <v>132</v>
          </cell>
          <cell r="D213">
            <v>197</v>
          </cell>
          <cell r="E213">
            <v>10579</v>
          </cell>
        </row>
        <row r="214">
          <cell r="B214">
            <v>174</v>
          </cell>
          <cell r="D214">
            <v>256</v>
          </cell>
          <cell r="E214">
            <v>10635</v>
          </cell>
        </row>
        <row r="215">
          <cell r="B215">
            <v>123</v>
          </cell>
          <cell r="D215">
            <v>167</v>
          </cell>
          <cell r="E215">
            <v>10761</v>
          </cell>
        </row>
        <row r="216">
          <cell r="B216">
            <v>123</v>
          </cell>
          <cell r="D216">
            <v>159</v>
          </cell>
          <cell r="E216">
            <v>10832</v>
          </cell>
        </row>
        <row r="217">
          <cell r="B217">
            <v>141</v>
          </cell>
          <cell r="D217">
            <v>188</v>
          </cell>
          <cell r="E217">
            <v>10897</v>
          </cell>
        </row>
        <row r="218">
          <cell r="B218">
            <v>158</v>
          </cell>
          <cell r="D218">
            <v>191</v>
          </cell>
          <cell r="E218">
            <v>10871</v>
          </cell>
        </row>
        <row r="219">
          <cell r="B219">
            <v>96</v>
          </cell>
          <cell r="D219">
            <v>233</v>
          </cell>
          <cell r="E219">
            <v>10998</v>
          </cell>
        </row>
        <row r="220">
          <cell r="B220">
            <v>141</v>
          </cell>
          <cell r="D220">
            <v>129</v>
          </cell>
          <cell r="E220">
            <v>11077</v>
          </cell>
        </row>
        <row r="221">
          <cell r="B221">
            <v>116</v>
          </cell>
          <cell r="D221">
            <v>182</v>
          </cell>
          <cell r="E221">
            <v>11192</v>
          </cell>
        </row>
        <row r="222">
          <cell r="B222">
            <v>150</v>
          </cell>
          <cell r="D222">
            <v>201</v>
          </cell>
          <cell r="E222">
            <v>11242</v>
          </cell>
        </row>
        <row r="223">
          <cell r="B223">
            <v>80</v>
          </cell>
          <cell r="D223">
            <v>125</v>
          </cell>
          <cell r="E223">
            <v>11092</v>
          </cell>
        </row>
        <row r="224">
          <cell r="B224">
            <v>116</v>
          </cell>
          <cell r="D224">
            <v>164</v>
          </cell>
          <cell r="E224">
            <v>11149</v>
          </cell>
        </row>
        <row r="225">
          <cell r="B225">
            <v>105</v>
          </cell>
          <cell r="D225">
            <v>158</v>
          </cell>
          <cell r="E225">
            <v>11291</v>
          </cell>
        </row>
        <row r="226">
          <cell r="B226">
            <v>136</v>
          </cell>
          <cell r="D226">
            <v>123</v>
          </cell>
          <cell r="E226">
            <v>11516</v>
          </cell>
        </row>
        <row r="227">
          <cell r="B227">
            <v>128</v>
          </cell>
          <cell r="D227">
            <v>177</v>
          </cell>
          <cell r="E227">
            <v>11375</v>
          </cell>
        </row>
        <row r="228">
          <cell r="B228">
            <v>90</v>
          </cell>
          <cell r="D228">
            <v>205</v>
          </cell>
          <cell r="E228">
            <v>11144</v>
          </cell>
        </row>
        <row r="229">
          <cell r="B229">
            <v>56</v>
          </cell>
          <cell r="D229">
            <v>68</v>
          </cell>
          <cell r="E229">
            <v>11217</v>
          </cell>
        </row>
        <row r="230">
          <cell r="B230">
            <v>74</v>
          </cell>
          <cell r="D230">
            <v>80</v>
          </cell>
          <cell r="E230">
            <v>11206</v>
          </cell>
        </row>
        <row r="231">
          <cell r="B231">
            <v>68</v>
          </cell>
          <cell r="D231">
            <v>102</v>
          </cell>
          <cell r="E231">
            <v>11230</v>
          </cell>
        </row>
        <row r="232">
          <cell r="B232">
            <v>92</v>
          </cell>
          <cell r="D232">
            <v>93</v>
          </cell>
          <cell r="E232">
            <v>10870</v>
          </cell>
        </row>
        <row r="233">
          <cell r="B233">
            <v>113</v>
          </cell>
          <cell r="D233">
            <v>107</v>
          </cell>
          <cell r="E233">
            <v>10770</v>
          </cell>
        </row>
        <row r="234">
          <cell r="B234">
            <v>106</v>
          </cell>
          <cell r="D234">
            <v>131</v>
          </cell>
          <cell r="E234">
            <v>10718</v>
          </cell>
        </row>
        <row r="235">
          <cell r="B235">
            <v>86</v>
          </cell>
          <cell r="D235">
            <v>168</v>
          </cell>
          <cell r="E235">
            <v>10558</v>
          </cell>
        </row>
        <row r="236">
          <cell r="B236">
            <v>84</v>
          </cell>
          <cell r="D236">
            <v>136</v>
          </cell>
          <cell r="E236">
            <v>9670</v>
          </cell>
        </row>
        <row r="237">
          <cell r="B237">
            <v>59</v>
          </cell>
          <cell r="D237">
            <v>117</v>
          </cell>
          <cell r="E237">
            <v>9670</v>
          </cell>
        </row>
        <row r="238">
          <cell r="B238">
            <v>62</v>
          </cell>
          <cell r="D238">
            <v>52</v>
          </cell>
          <cell r="E238">
            <v>9311</v>
          </cell>
        </row>
        <row r="239">
          <cell r="B239">
            <v>91</v>
          </cell>
          <cell r="D239">
            <v>97</v>
          </cell>
          <cell r="E239">
            <v>9144</v>
          </cell>
        </row>
        <row r="240">
          <cell r="B240">
            <v>29</v>
          </cell>
          <cell r="D240">
            <v>11</v>
          </cell>
          <cell r="E240">
            <v>8829</v>
          </cell>
        </row>
        <row r="241">
          <cell r="B241">
            <v>33</v>
          </cell>
          <cell r="D241">
            <v>34</v>
          </cell>
          <cell r="E241">
            <v>8033</v>
          </cell>
        </row>
        <row r="242">
          <cell r="B242">
            <v>32</v>
          </cell>
          <cell r="D242">
            <v>39</v>
          </cell>
          <cell r="E242">
            <v>8133</v>
          </cell>
        </row>
        <row r="243">
          <cell r="B243">
            <v>80</v>
          </cell>
          <cell r="D243">
            <v>125</v>
          </cell>
          <cell r="E243">
            <v>8072</v>
          </cell>
        </row>
        <row r="244">
          <cell r="B244">
            <v>116</v>
          </cell>
          <cell r="D244">
            <v>164</v>
          </cell>
          <cell r="E244">
            <v>8042</v>
          </cell>
        </row>
        <row r="245">
          <cell r="B245">
            <v>105</v>
          </cell>
          <cell r="D245">
            <v>158</v>
          </cell>
          <cell r="E245">
            <v>7974</v>
          </cell>
        </row>
        <row r="246">
          <cell r="B246">
            <v>136</v>
          </cell>
          <cell r="D246">
            <v>123</v>
          </cell>
          <cell r="E246">
            <v>8008</v>
          </cell>
        </row>
        <row r="247">
          <cell r="B247">
            <v>128</v>
          </cell>
          <cell r="D247">
            <v>177</v>
          </cell>
          <cell r="E247">
            <v>8133</v>
          </cell>
        </row>
        <row r="248">
          <cell r="B248">
            <v>90</v>
          </cell>
          <cell r="D248">
            <v>205</v>
          </cell>
          <cell r="E248">
            <v>8212</v>
          </cell>
        </row>
        <row r="249">
          <cell r="B249">
            <v>102</v>
          </cell>
          <cell r="D249">
            <v>155</v>
          </cell>
          <cell r="E249">
            <v>8180</v>
          </cell>
        </row>
        <row r="250">
          <cell r="B250">
            <v>120</v>
          </cell>
          <cell r="D250">
            <v>126</v>
          </cell>
          <cell r="E250">
            <v>8004</v>
          </cell>
        </row>
        <row r="251">
          <cell r="B251">
            <v>137</v>
          </cell>
          <cell r="D251">
            <v>166</v>
          </cell>
          <cell r="E251">
            <v>8057</v>
          </cell>
        </row>
        <row r="252">
          <cell r="B252">
            <v>93</v>
          </cell>
          <cell r="D252">
            <v>208</v>
          </cell>
          <cell r="E252">
            <v>8182</v>
          </cell>
        </row>
        <row r="253">
          <cell r="B253">
            <v>203</v>
          </cell>
          <cell r="D253">
            <v>258</v>
          </cell>
          <cell r="E253">
            <v>8153</v>
          </cell>
        </row>
        <row r="254">
          <cell r="B254">
            <v>222</v>
          </cell>
          <cell r="D254">
            <v>289</v>
          </cell>
          <cell r="E254">
            <v>8026</v>
          </cell>
        </row>
        <row r="255">
          <cell r="B255">
            <v>253</v>
          </cell>
          <cell r="D255">
            <v>248</v>
          </cell>
          <cell r="E255">
            <v>7813</v>
          </cell>
        </row>
        <row r="256">
          <cell r="B256">
            <v>157</v>
          </cell>
          <cell r="D256">
            <v>345</v>
          </cell>
          <cell r="E256">
            <v>7872</v>
          </cell>
        </row>
        <row r="257">
          <cell r="B257">
            <v>291</v>
          </cell>
          <cell r="D257">
            <v>323</v>
          </cell>
          <cell r="E257">
            <v>8045</v>
          </cell>
        </row>
        <row r="258">
          <cell r="B258">
            <v>227</v>
          </cell>
          <cell r="D258">
            <v>330</v>
          </cell>
          <cell r="E258">
            <v>8160</v>
          </cell>
        </row>
        <row r="259">
          <cell r="B259">
            <v>298</v>
          </cell>
          <cell r="D259">
            <v>358</v>
          </cell>
          <cell r="E259">
            <v>8188</v>
          </cell>
        </row>
        <row r="260">
          <cell r="B260">
            <v>205</v>
          </cell>
          <cell r="D260">
            <v>226</v>
          </cell>
          <cell r="E260">
            <v>8056</v>
          </cell>
        </row>
        <row r="261">
          <cell r="B261">
            <v>213</v>
          </cell>
          <cell r="D261">
            <v>440</v>
          </cell>
          <cell r="E261">
            <v>8092</v>
          </cell>
        </row>
        <row r="262">
          <cell r="B262">
            <v>227</v>
          </cell>
          <cell r="D262">
            <v>349</v>
          </cell>
          <cell r="E262">
            <v>8348</v>
          </cell>
        </row>
        <row r="263">
          <cell r="B263">
            <v>185</v>
          </cell>
          <cell r="D263">
            <v>272</v>
          </cell>
          <cell r="E263">
            <v>8512</v>
          </cell>
        </row>
        <row r="264">
          <cell r="B264">
            <v>333</v>
          </cell>
          <cell r="D264">
            <v>272</v>
          </cell>
          <cell r="E264">
            <v>8463</v>
          </cell>
        </row>
        <row r="265">
          <cell r="B265">
            <v>249</v>
          </cell>
          <cell r="D265">
            <v>371</v>
          </cell>
          <cell r="E265">
            <v>8380</v>
          </cell>
        </row>
        <row r="266">
          <cell r="B266">
            <v>149</v>
          </cell>
          <cell r="D266">
            <v>273</v>
          </cell>
          <cell r="E266">
            <v>8488</v>
          </cell>
        </row>
        <row r="267">
          <cell r="B267">
            <v>232</v>
          </cell>
          <cell r="D267">
            <v>318</v>
          </cell>
          <cell r="E267">
            <v>8573</v>
          </cell>
        </row>
        <row r="268">
          <cell r="B268">
            <v>165</v>
          </cell>
          <cell r="D268">
            <v>292</v>
          </cell>
          <cell r="E268">
            <v>8607</v>
          </cell>
        </row>
        <row r="269">
          <cell r="B269">
            <v>244</v>
          </cell>
          <cell r="D269">
            <v>366</v>
          </cell>
          <cell r="E269">
            <v>8404</v>
          </cell>
        </row>
        <row r="270">
          <cell r="B270">
            <v>199</v>
          </cell>
          <cell r="D270">
            <v>326</v>
          </cell>
          <cell r="E270">
            <v>8404</v>
          </cell>
        </row>
        <row r="271">
          <cell r="B271">
            <v>197</v>
          </cell>
          <cell r="D271">
            <v>306</v>
          </cell>
          <cell r="E271">
            <v>8650</v>
          </cell>
        </row>
        <row r="272">
          <cell r="B272">
            <v>209</v>
          </cell>
          <cell r="D272">
            <v>274</v>
          </cell>
          <cell r="E272">
            <v>8699</v>
          </cell>
        </row>
        <row r="273">
          <cell r="B273">
            <v>262</v>
          </cell>
          <cell r="D273">
            <v>354</v>
          </cell>
          <cell r="E273">
            <v>8724</v>
          </cell>
        </row>
        <row r="274">
          <cell r="B274">
            <v>236</v>
          </cell>
          <cell r="D274">
            <v>347</v>
          </cell>
          <cell r="E274">
            <v>8594</v>
          </cell>
        </row>
        <row r="275">
          <cell r="B275">
            <v>225</v>
          </cell>
          <cell r="D275">
            <v>340</v>
          </cell>
          <cell r="E275">
            <v>8660</v>
          </cell>
        </row>
        <row r="276">
          <cell r="B276">
            <v>246</v>
          </cell>
          <cell r="D276">
            <v>345</v>
          </cell>
          <cell r="E276">
            <v>8800</v>
          </cell>
        </row>
        <row r="277">
          <cell r="B277">
            <v>230</v>
          </cell>
          <cell r="D277">
            <v>277</v>
          </cell>
          <cell r="E277">
            <v>8870</v>
          </cell>
        </row>
        <row r="278">
          <cell r="B278">
            <v>181</v>
          </cell>
          <cell r="D278">
            <v>328</v>
          </cell>
          <cell r="E278">
            <v>8902</v>
          </cell>
        </row>
        <row r="279">
          <cell r="B279">
            <v>190</v>
          </cell>
          <cell r="D279">
            <v>326</v>
          </cell>
          <cell r="E279">
            <v>8714</v>
          </cell>
        </row>
        <row r="280">
          <cell r="B280">
            <v>178</v>
          </cell>
          <cell r="D280">
            <v>290</v>
          </cell>
          <cell r="E280">
            <v>8757</v>
          </cell>
        </row>
        <row r="281">
          <cell r="B281">
            <v>154</v>
          </cell>
          <cell r="D281">
            <v>290</v>
          </cell>
          <cell r="E281">
            <v>8843</v>
          </cell>
        </row>
        <row r="282">
          <cell r="B282">
            <v>165</v>
          </cell>
          <cell r="D282">
            <v>167</v>
          </cell>
          <cell r="E282">
            <v>8819</v>
          </cell>
        </row>
        <row r="283">
          <cell r="B283">
            <v>166</v>
          </cell>
          <cell r="D283">
            <v>252</v>
          </cell>
          <cell r="E283">
            <v>8695</v>
          </cell>
        </row>
        <row r="284">
          <cell r="B284">
            <v>127</v>
          </cell>
          <cell r="D284">
            <v>259</v>
          </cell>
          <cell r="E284">
            <v>8373</v>
          </cell>
        </row>
        <row r="285">
          <cell r="B285">
            <v>123</v>
          </cell>
          <cell r="D285">
            <v>188</v>
          </cell>
          <cell r="E285">
            <v>8333</v>
          </cell>
        </row>
        <row r="286">
          <cell r="B286">
            <v>99</v>
          </cell>
          <cell r="D286">
            <v>256</v>
          </cell>
          <cell r="E286">
            <v>8390</v>
          </cell>
        </row>
        <row r="287">
          <cell r="B287">
            <v>91</v>
          </cell>
          <cell r="D287">
            <v>174</v>
          </cell>
          <cell r="E287">
            <v>8365</v>
          </cell>
        </row>
        <row r="288">
          <cell r="B288">
            <v>132</v>
          </cell>
          <cell r="D288">
            <v>141</v>
          </cell>
          <cell r="E288">
            <v>8292</v>
          </cell>
        </row>
        <row r="289">
          <cell r="B289">
            <v>124</v>
          </cell>
          <cell r="D289">
            <v>221</v>
          </cell>
          <cell r="E289">
            <v>7899</v>
          </cell>
        </row>
        <row r="290">
          <cell r="B290">
            <v>128</v>
          </cell>
          <cell r="D290">
            <v>224</v>
          </cell>
          <cell r="E290">
            <v>7899</v>
          </cell>
        </row>
        <row r="291">
          <cell r="B291">
            <v>187</v>
          </cell>
          <cell r="D291">
            <v>200</v>
          </cell>
          <cell r="E291">
            <v>7919</v>
          </cell>
        </row>
        <row r="292">
          <cell r="B292">
            <v>129</v>
          </cell>
          <cell r="D292">
            <v>185</v>
          </cell>
          <cell r="E292">
            <v>7893</v>
          </cell>
        </row>
        <row r="293">
          <cell r="B293">
            <v>161</v>
          </cell>
          <cell r="D293">
            <v>248</v>
          </cell>
          <cell r="E293">
            <v>7762</v>
          </cell>
        </row>
        <row r="294">
          <cell r="B294">
            <v>105</v>
          </cell>
          <cell r="D294">
            <v>151</v>
          </cell>
          <cell r="E294">
            <v>7257</v>
          </cell>
        </row>
        <row r="295">
          <cell r="B295">
            <v>109</v>
          </cell>
          <cell r="D295">
            <v>171</v>
          </cell>
          <cell r="E295">
            <v>7271</v>
          </cell>
        </row>
        <row r="296">
          <cell r="B296">
            <v>101</v>
          </cell>
          <cell r="D296">
            <v>175</v>
          </cell>
          <cell r="E296">
            <v>7340</v>
          </cell>
        </row>
        <row r="297">
          <cell r="B297">
            <v>124</v>
          </cell>
          <cell r="D297">
            <v>190</v>
          </cell>
          <cell r="E297">
            <v>7346</v>
          </cell>
        </row>
        <row r="298">
          <cell r="B298">
            <v>95</v>
          </cell>
          <cell r="D298">
            <v>152</v>
          </cell>
          <cell r="E298">
            <v>7317</v>
          </cell>
        </row>
        <row r="299">
          <cell r="B299">
            <v>106</v>
          </cell>
          <cell r="D299">
            <v>233</v>
          </cell>
          <cell r="E299">
            <v>6982</v>
          </cell>
        </row>
        <row r="300">
          <cell r="B300">
            <v>102</v>
          </cell>
          <cell r="D300">
            <v>167</v>
          </cell>
          <cell r="E300">
            <v>6988</v>
          </cell>
        </row>
        <row r="301">
          <cell r="B301">
            <v>118</v>
          </cell>
          <cell r="D301">
            <v>217</v>
          </cell>
          <cell r="E301">
            <v>7043</v>
          </cell>
        </row>
        <row r="302">
          <cell r="B302">
            <v>117</v>
          </cell>
          <cell r="D302">
            <v>142</v>
          </cell>
          <cell r="E302">
            <v>6999</v>
          </cell>
        </row>
        <row r="303">
          <cell r="B303">
            <v>183</v>
          </cell>
          <cell r="D303">
            <v>220</v>
          </cell>
          <cell r="E303">
            <v>6912</v>
          </cell>
        </row>
        <row r="304">
          <cell r="B304">
            <v>128</v>
          </cell>
          <cell r="D304">
            <v>243</v>
          </cell>
          <cell r="E304">
            <v>6630</v>
          </cell>
        </row>
        <row r="305">
          <cell r="B305">
            <v>144</v>
          </cell>
          <cell r="D305">
            <v>176</v>
          </cell>
          <cell r="E305">
            <v>6681</v>
          </cell>
        </row>
        <row r="306">
          <cell r="B306">
            <v>219</v>
          </cell>
          <cell r="D306">
            <v>205</v>
          </cell>
          <cell r="E306">
            <v>6685</v>
          </cell>
        </row>
        <row r="307">
          <cell r="B307">
            <v>182</v>
          </cell>
          <cell r="D307">
            <v>274</v>
          </cell>
          <cell r="E307">
            <v>6725</v>
          </cell>
        </row>
        <row r="308">
          <cell r="B308">
            <v>144</v>
          </cell>
          <cell r="D308">
            <v>258</v>
          </cell>
          <cell r="E308">
            <v>6728</v>
          </cell>
        </row>
        <row r="309">
          <cell r="B309">
            <v>208</v>
          </cell>
          <cell r="D309">
            <v>343</v>
          </cell>
          <cell r="E309">
            <v>6745</v>
          </cell>
        </row>
        <row r="310">
          <cell r="B310">
            <v>176</v>
          </cell>
          <cell r="D310">
            <v>251</v>
          </cell>
          <cell r="E310">
            <v>6799</v>
          </cell>
        </row>
        <row r="311">
          <cell r="B311">
            <v>252</v>
          </cell>
          <cell r="D311">
            <v>307</v>
          </cell>
          <cell r="E311">
            <v>6967</v>
          </cell>
        </row>
        <row r="312">
          <cell r="B312">
            <v>253</v>
          </cell>
          <cell r="D312">
            <v>307</v>
          </cell>
          <cell r="E312">
            <v>7128</v>
          </cell>
        </row>
        <row r="313">
          <cell r="B313">
            <v>145</v>
          </cell>
          <cell r="D313">
            <v>333</v>
          </cell>
          <cell r="E313">
            <v>7209</v>
          </cell>
        </row>
        <row r="314">
          <cell r="B314">
            <v>158</v>
          </cell>
          <cell r="D314">
            <v>365</v>
          </cell>
          <cell r="E314">
            <v>7298</v>
          </cell>
        </row>
        <row r="315">
          <cell r="B315">
            <v>140</v>
          </cell>
          <cell r="D315">
            <v>255</v>
          </cell>
          <cell r="E315">
            <v>7373</v>
          </cell>
        </row>
        <row r="316">
          <cell r="B316">
            <v>220</v>
          </cell>
          <cell r="D316">
            <v>194</v>
          </cell>
          <cell r="E316">
            <v>7431</v>
          </cell>
        </row>
        <row r="317">
          <cell r="B317">
            <v>197</v>
          </cell>
          <cell r="D317">
            <v>295</v>
          </cell>
          <cell r="E317">
            <v>7508</v>
          </cell>
        </row>
        <row r="318">
          <cell r="B318">
            <v>206</v>
          </cell>
          <cell r="D318">
            <v>293</v>
          </cell>
          <cell r="E318">
            <v>7577</v>
          </cell>
        </row>
        <row r="319">
          <cell r="B319">
            <v>150</v>
          </cell>
          <cell r="D319">
            <v>228</v>
          </cell>
          <cell r="E319">
            <v>7447</v>
          </cell>
        </row>
        <row r="320">
          <cell r="B320">
            <v>173</v>
          </cell>
          <cell r="D320">
            <v>211</v>
          </cell>
          <cell r="E320">
            <v>7449</v>
          </cell>
        </row>
        <row r="321">
          <cell r="B321">
            <v>176</v>
          </cell>
          <cell r="D321">
            <v>246</v>
          </cell>
          <cell r="E321">
            <v>7566</v>
          </cell>
        </row>
        <row r="322">
          <cell r="B322">
            <v>167</v>
          </cell>
          <cell r="D322">
            <v>205</v>
          </cell>
          <cell r="E322">
            <v>7583</v>
          </cell>
        </row>
        <row r="323">
          <cell r="B323">
            <v>138</v>
          </cell>
          <cell r="D323">
            <v>268</v>
          </cell>
          <cell r="E323">
            <v>7570</v>
          </cell>
        </row>
        <row r="324">
          <cell r="B324">
            <v>138</v>
          </cell>
          <cell r="D324">
            <v>263</v>
          </cell>
          <cell r="E324">
            <v>7464</v>
          </cell>
        </row>
        <row r="325">
          <cell r="B325">
            <v>112</v>
          </cell>
          <cell r="D325">
            <v>167</v>
          </cell>
          <cell r="E325">
            <v>7499</v>
          </cell>
        </row>
        <row r="326">
          <cell r="B326">
            <v>246</v>
          </cell>
          <cell r="D326">
            <v>218</v>
          </cell>
          <cell r="E326">
            <v>7546</v>
          </cell>
        </row>
        <row r="327">
          <cell r="B327">
            <v>115</v>
          </cell>
          <cell r="D327">
            <v>341</v>
          </cell>
          <cell r="E327">
            <v>7589</v>
          </cell>
        </row>
        <row r="328">
          <cell r="B328">
            <v>206</v>
          </cell>
          <cell r="D328">
            <v>214</v>
          </cell>
          <cell r="E328">
            <v>7565</v>
          </cell>
        </row>
        <row r="329">
          <cell r="B329">
            <v>143</v>
          </cell>
          <cell r="D329">
            <v>278</v>
          </cell>
          <cell r="E329">
            <v>7356</v>
          </cell>
        </row>
        <row r="330">
          <cell r="B330">
            <v>111</v>
          </cell>
          <cell r="D330">
            <v>217</v>
          </cell>
          <cell r="E330">
            <v>7368</v>
          </cell>
        </row>
        <row r="331">
          <cell r="B331">
            <v>196</v>
          </cell>
          <cell r="D331">
            <v>176</v>
          </cell>
          <cell r="E331">
            <v>7404</v>
          </cell>
        </row>
        <row r="332">
          <cell r="B332">
            <v>168</v>
          </cell>
          <cell r="D332">
            <v>272</v>
          </cell>
          <cell r="E332">
            <v>7474</v>
          </cell>
        </row>
        <row r="333">
          <cell r="B333">
            <v>193</v>
          </cell>
          <cell r="D333">
            <v>314</v>
          </cell>
          <cell r="E333">
            <v>7494</v>
          </cell>
        </row>
        <row r="334">
          <cell r="B334">
            <v>156</v>
          </cell>
          <cell r="D334">
            <v>252</v>
          </cell>
          <cell r="E334">
            <v>7365</v>
          </cell>
        </row>
        <row r="335">
          <cell r="B335">
            <v>153</v>
          </cell>
          <cell r="D335">
            <v>239</v>
          </cell>
          <cell r="E335">
            <v>7418</v>
          </cell>
        </row>
        <row r="336">
          <cell r="B336">
            <v>182</v>
          </cell>
          <cell r="D336">
            <v>158</v>
          </cell>
          <cell r="E336">
            <v>7491</v>
          </cell>
        </row>
        <row r="337">
          <cell r="B337">
            <v>167</v>
          </cell>
          <cell r="D337">
            <v>339</v>
          </cell>
          <cell r="E337">
            <v>7563</v>
          </cell>
        </row>
        <row r="338">
          <cell r="B338">
            <v>159</v>
          </cell>
          <cell r="D338">
            <v>322</v>
          </cell>
          <cell r="E338">
            <v>7546</v>
          </cell>
        </row>
        <row r="339">
          <cell r="B339">
            <v>109</v>
          </cell>
          <cell r="D339">
            <v>257</v>
          </cell>
          <cell r="E339">
            <v>7596</v>
          </cell>
        </row>
        <row r="340">
          <cell r="B340">
            <v>260</v>
          </cell>
          <cell r="D340">
            <v>176</v>
          </cell>
          <cell r="E340">
            <v>7565</v>
          </cell>
        </row>
        <row r="341">
          <cell r="B341">
            <v>173</v>
          </cell>
          <cell r="D341">
            <v>291</v>
          </cell>
          <cell r="E341">
            <v>7691</v>
          </cell>
        </row>
        <row r="342">
          <cell r="B342">
            <v>179</v>
          </cell>
          <cell r="D342">
            <v>282</v>
          </cell>
          <cell r="E342">
            <v>7741</v>
          </cell>
        </row>
        <row r="343">
          <cell r="B343">
            <v>116</v>
          </cell>
          <cell r="D343">
            <v>166</v>
          </cell>
          <cell r="E343">
            <v>7451</v>
          </cell>
        </row>
        <row r="344">
          <cell r="B344">
            <v>184</v>
          </cell>
          <cell r="D344">
            <v>229</v>
          </cell>
          <cell r="E344">
            <v>7439</v>
          </cell>
        </row>
        <row r="345">
          <cell r="B345">
            <v>186</v>
          </cell>
          <cell r="D345">
            <v>224</v>
          </cell>
          <cell r="E345">
            <v>7493</v>
          </cell>
        </row>
        <row r="346">
          <cell r="B346">
            <v>152</v>
          </cell>
          <cell r="D346">
            <v>274</v>
          </cell>
          <cell r="E346">
            <v>7548</v>
          </cell>
        </row>
        <row r="347">
          <cell r="B347">
            <v>167</v>
          </cell>
          <cell r="D347">
            <v>230</v>
          </cell>
          <cell r="E347">
            <v>7544</v>
          </cell>
        </row>
        <row r="348">
          <cell r="B348">
            <v>204</v>
          </cell>
          <cell r="D348">
            <v>233</v>
          </cell>
          <cell r="E348">
            <v>7307</v>
          </cell>
        </row>
        <row r="349">
          <cell r="B349">
            <v>159</v>
          </cell>
          <cell r="D349">
            <v>272</v>
          </cell>
          <cell r="E349">
            <v>7318</v>
          </cell>
        </row>
        <row r="350">
          <cell r="B350">
            <v>160</v>
          </cell>
          <cell r="D350">
            <v>253</v>
          </cell>
          <cell r="E350">
            <v>7340</v>
          </cell>
        </row>
        <row r="351">
          <cell r="B351">
            <v>204</v>
          </cell>
          <cell r="D351">
            <v>246</v>
          </cell>
          <cell r="E351">
            <v>7433</v>
          </cell>
        </row>
        <row r="352">
          <cell r="B352">
            <v>145</v>
          </cell>
          <cell r="D352">
            <v>243</v>
          </cell>
          <cell r="E352">
            <v>7431</v>
          </cell>
        </row>
        <row r="353">
          <cell r="B353">
            <v>102</v>
          </cell>
          <cell r="D353">
            <v>201</v>
          </cell>
          <cell r="E353">
            <v>7247</v>
          </cell>
        </row>
        <row r="354">
          <cell r="B354">
            <v>116</v>
          </cell>
          <cell r="D354">
            <v>172</v>
          </cell>
          <cell r="E354">
            <v>7239</v>
          </cell>
        </row>
        <row r="355">
          <cell r="B355">
            <v>172</v>
          </cell>
          <cell r="D355">
            <v>191</v>
          </cell>
          <cell r="E355">
            <v>7239</v>
          </cell>
        </row>
        <row r="356">
          <cell r="B356">
            <v>132</v>
          </cell>
          <cell r="D356">
            <v>197</v>
          </cell>
          <cell r="E356">
            <v>7268</v>
          </cell>
        </row>
        <row r="357">
          <cell r="B357">
            <v>174</v>
          </cell>
          <cell r="D357">
            <v>256</v>
          </cell>
          <cell r="E357">
            <v>7248</v>
          </cell>
        </row>
        <row r="358">
          <cell r="B358">
            <v>123</v>
          </cell>
          <cell r="D358">
            <v>167</v>
          </cell>
          <cell r="E358">
            <v>6874</v>
          </cell>
        </row>
        <row r="359">
          <cell r="B359">
            <v>123</v>
          </cell>
          <cell r="D359">
            <v>159</v>
          </cell>
          <cell r="E359">
            <v>6825</v>
          </cell>
        </row>
        <row r="360">
          <cell r="B360">
            <v>141</v>
          </cell>
          <cell r="D360">
            <v>188</v>
          </cell>
          <cell r="E360">
            <v>6823</v>
          </cell>
        </row>
        <row r="361">
          <cell r="B361">
            <v>158</v>
          </cell>
          <cell r="D361">
            <v>191</v>
          </cell>
          <cell r="E361">
            <v>6790</v>
          </cell>
        </row>
        <row r="362">
          <cell r="B362">
            <v>96</v>
          </cell>
          <cell r="D362">
            <v>233</v>
          </cell>
          <cell r="E362">
            <v>6599</v>
          </cell>
        </row>
        <row r="363">
          <cell r="B363">
            <v>141</v>
          </cell>
          <cell r="D363">
            <v>129</v>
          </cell>
          <cell r="E363">
            <v>6617</v>
          </cell>
        </row>
        <row r="364">
          <cell r="B364">
            <v>116</v>
          </cell>
          <cell r="D364">
            <v>182</v>
          </cell>
          <cell r="E364">
            <v>6651</v>
          </cell>
        </row>
        <row r="365">
          <cell r="B365">
            <v>150</v>
          </cell>
          <cell r="D365">
            <v>201</v>
          </cell>
          <cell r="E365">
            <v>6649</v>
          </cell>
        </row>
        <row r="366">
          <cell r="B366">
            <v>80</v>
          </cell>
          <cell r="D366">
            <v>125</v>
          </cell>
          <cell r="E366">
            <v>6640</v>
          </cell>
        </row>
        <row r="367">
          <cell r="B367">
            <v>116</v>
          </cell>
          <cell r="D367">
            <v>164</v>
          </cell>
          <cell r="E367">
            <v>6308</v>
          </cell>
        </row>
        <row r="368">
          <cell r="B368">
            <v>105</v>
          </cell>
          <cell r="D368">
            <v>158</v>
          </cell>
          <cell r="E368">
            <v>6283</v>
          </cell>
        </row>
        <row r="369">
          <cell r="B369">
            <v>136</v>
          </cell>
          <cell r="D369">
            <v>123</v>
          </cell>
          <cell r="E369">
            <v>6239</v>
          </cell>
        </row>
        <row r="370">
          <cell r="B370">
            <v>128</v>
          </cell>
          <cell r="D370">
            <v>177</v>
          </cell>
          <cell r="E370">
            <v>6228</v>
          </cell>
        </row>
        <row r="371">
          <cell r="B371">
            <v>90</v>
          </cell>
          <cell r="D371">
            <v>205</v>
          </cell>
          <cell r="E371">
            <v>6058</v>
          </cell>
        </row>
        <row r="372">
          <cell r="B372">
            <v>102</v>
          </cell>
          <cell r="D372">
            <v>155</v>
          </cell>
          <cell r="E372">
            <v>6002</v>
          </cell>
        </row>
        <row r="373">
          <cell r="B373">
            <v>120</v>
          </cell>
          <cell r="D373">
            <v>126</v>
          </cell>
          <cell r="E373">
            <v>5965</v>
          </cell>
        </row>
        <row r="374">
          <cell r="B374">
            <v>137</v>
          </cell>
          <cell r="D374">
            <v>166</v>
          </cell>
          <cell r="E374">
            <v>5927</v>
          </cell>
        </row>
        <row r="375">
          <cell r="B375">
            <v>93</v>
          </cell>
          <cell r="D375">
            <v>208</v>
          </cell>
          <cell r="E375">
            <v>5954</v>
          </cell>
        </row>
        <row r="376">
          <cell r="B376">
            <v>152</v>
          </cell>
          <cell r="D376">
            <v>199</v>
          </cell>
          <cell r="E376">
            <v>5743</v>
          </cell>
        </row>
        <row r="377">
          <cell r="B377">
            <v>114</v>
          </cell>
          <cell r="D377">
            <v>219</v>
          </cell>
          <cell r="E377">
            <v>5819</v>
          </cell>
        </row>
        <row r="378">
          <cell r="B378">
            <v>125</v>
          </cell>
          <cell r="D378">
            <v>208</v>
          </cell>
          <cell r="E378">
            <v>5930</v>
          </cell>
        </row>
        <row r="379">
          <cell r="B379">
            <v>140</v>
          </cell>
          <cell r="D379">
            <v>163</v>
          </cell>
          <cell r="E379">
            <v>5963</v>
          </cell>
        </row>
        <row r="380">
          <cell r="B380">
            <v>227</v>
          </cell>
          <cell r="D380">
            <v>212</v>
          </cell>
          <cell r="E380">
            <v>6016</v>
          </cell>
        </row>
        <row r="381">
          <cell r="B381">
            <v>63</v>
          </cell>
          <cell r="D381">
            <v>143</v>
          </cell>
          <cell r="E381">
            <v>5943</v>
          </cell>
        </row>
        <row r="382">
          <cell r="B382">
            <v>172</v>
          </cell>
          <cell r="D382">
            <v>138</v>
          </cell>
          <cell r="E382">
            <v>5950</v>
          </cell>
        </row>
        <row r="383">
          <cell r="B383">
            <v>163</v>
          </cell>
          <cell r="D383">
            <v>200</v>
          </cell>
          <cell r="E383">
            <v>5998</v>
          </cell>
        </row>
        <row r="384">
          <cell r="B384">
            <v>135</v>
          </cell>
          <cell r="D384">
            <v>207</v>
          </cell>
          <cell r="E384">
            <v>6038</v>
          </cell>
        </row>
        <row r="385">
          <cell r="B385">
            <v>119</v>
          </cell>
          <cell r="D385">
            <v>213</v>
          </cell>
          <cell r="E385">
            <v>6084</v>
          </cell>
        </row>
        <row r="386">
          <cell r="B386">
            <v>95</v>
          </cell>
          <cell r="D386">
            <v>140</v>
          </cell>
          <cell r="E386">
            <v>5894</v>
          </cell>
        </row>
        <row r="387">
          <cell r="B387">
            <v>109</v>
          </cell>
          <cell r="D387">
            <v>155</v>
          </cell>
          <cell r="E387">
            <v>5903</v>
          </cell>
        </row>
        <row r="388">
          <cell r="B388">
            <v>162</v>
          </cell>
          <cell r="D388">
            <v>189</v>
          </cell>
          <cell r="E388">
            <v>5981</v>
          </cell>
        </row>
        <row r="389">
          <cell r="B389">
            <v>109</v>
          </cell>
          <cell r="D389">
            <v>191</v>
          </cell>
          <cell r="E389">
            <v>5987</v>
          </cell>
        </row>
        <row r="390">
          <cell r="B390">
            <v>124</v>
          </cell>
          <cell r="D390">
            <v>156</v>
          </cell>
          <cell r="E390">
            <v>5895</v>
          </cell>
        </row>
        <row r="391">
          <cell r="B391">
            <v>86</v>
          </cell>
          <cell r="D391">
            <v>235</v>
          </cell>
          <cell r="E391">
            <v>5821</v>
          </cell>
        </row>
        <row r="392">
          <cell r="B392">
            <v>176</v>
          </cell>
          <cell r="D392">
            <v>162</v>
          </cell>
          <cell r="E392">
            <v>5865</v>
          </cell>
        </row>
        <row r="393">
          <cell r="B393">
            <v>136</v>
          </cell>
          <cell r="D393">
            <v>245</v>
          </cell>
          <cell r="E393">
            <v>5995</v>
          </cell>
        </row>
        <row r="394">
          <cell r="B394">
            <v>134</v>
          </cell>
          <cell r="D394">
            <v>167</v>
          </cell>
          <cell r="E394">
            <v>6028</v>
          </cell>
        </row>
        <row r="395">
          <cell r="B395">
            <v>182</v>
          </cell>
          <cell r="D395">
            <v>205</v>
          </cell>
          <cell r="E395">
            <v>6054</v>
          </cell>
        </row>
        <row r="396">
          <cell r="B396">
            <v>149</v>
          </cell>
          <cell r="D396">
            <v>222</v>
          </cell>
          <cell r="E396">
            <v>6152</v>
          </cell>
        </row>
        <row r="397">
          <cell r="B397">
            <v>170</v>
          </cell>
          <cell r="D397">
            <v>178</v>
          </cell>
          <cell r="E397">
            <v>6227</v>
          </cell>
        </row>
        <row r="398">
          <cell r="B398">
            <v>145</v>
          </cell>
          <cell r="D398">
            <v>188</v>
          </cell>
          <cell r="E398">
            <v>6250</v>
          </cell>
        </row>
        <row r="399">
          <cell r="B399">
            <v>133</v>
          </cell>
          <cell r="D399">
            <v>198</v>
          </cell>
          <cell r="E399">
            <v>6192</v>
          </cell>
        </row>
        <row r="400">
          <cell r="B400">
            <v>131</v>
          </cell>
          <cell r="D400">
            <v>177</v>
          </cell>
          <cell r="E400">
            <v>6272</v>
          </cell>
        </row>
        <row r="401">
          <cell r="B401">
            <v>121</v>
          </cell>
          <cell r="D401">
            <v>219</v>
          </cell>
          <cell r="E401">
            <v>6375</v>
          </cell>
        </row>
        <row r="402">
          <cell r="B402">
            <v>126</v>
          </cell>
          <cell r="D402">
            <v>175</v>
          </cell>
          <cell r="E402">
            <v>6448</v>
          </cell>
        </row>
        <row r="403">
          <cell r="B403">
            <v>123</v>
          </cell>
          <cell r="D403">
            <v>164</v>
          </cell>
          <cell r="E403">
            <v>6312</v>
          </cell>
        </row>
        <row r="404">
          <cell r="B404">
            <v>144</v>
          </cell>
          <cell r="D404">
            <v>190</v>
          </cell>
          <cell r="E404">
            <v>6353</v>
          </cell>
        </row>
        <row r="405">
          <cell r="B405">
            <v>131</v>
          </cell>
          <cell r="D405">
            <v>180</v>
          </cell>
          <cell r="E405">
            <v>6396</v>
          </cell>
        </row>
        <row r="406">
          <cell r="B406">
            <v>93</v>
          </cell>
          <cell r="D406">
            <v>175</v>
          </cell>
          <cell r="E406">
            <v>6410</v>
          </cell>
        </row>
        <row r="407">
          <cell r="B407">
            <v>184</v>
          </cell>
          <cell r="D407">
            <v>210</v>
          </cell>
          <cell r="E407">
            <v>6360</v>
          </cell>
        </row>
        <row r="408">
          <cell r="B408">
            <v>81</v>
          </cell>
          <cell r="D408">
            <v>212</v>
          </cell>
          <cell r="E408">
            <v>6326</v>
          </cell>
        </row>
        <row r="409">
          <cell r="B409">
            <v>98</v>
          </cell>
          <cell r="D409">
            <v>167</v>
          </cell>
          <cell r="E409">
            <v>6234</v>
          </cell>
        </row>
        <row r="410">
          <cell r="B410">
            <v>113</v>
          </cell>
          <cell r="D410">
            <v>160</v>
          </cell>
          <cell r="E410">
            <v>6229</v>
          </cell>
        </row>
        <row r="411">
          <cell r="B411">
            <v>159</v>
          </cell>
          <cell r="D411">
            <v>139</v>
          </cell>
          <cell r="E411">
            <v>6227</v>
          </cell>
        </row>
        <row r="412">
          <cell r="B412">
            <v>116</v>
          </cell>
          <cell r="D412">
            <v>217</v>
          </cell>
          <cell r="E412">
            <v>6245</v>
          </cell>
        </row>
        <row r="413">
          <cell r="B413">
            <v>93</v>
          </cell>
          <cell r="D413">
            <v>169</v>
          </cell>
          <cell r="E413">
            <v>6270</v>
          </cell>
        </row>
        <row r="414">
          <cell r="B414">
            <v>124</v>
          </cell>
          <cell r="D414">
            <v>161</v>
          </cell>
          <cell r="E414">
            <v>5989</v>
          </cell>
        </row>
        <row r="415">
          <cell r="B415">
            <v>92</v>
          </cell>
          <cell r="D415">
            <v>173</v>
          </cell>
          <cell r="E415">
            <v>6002</v>
          </cell>
        </row>
        <row r="416">
          <cell r="B416">
            <v>186</v>
          </cell>
          <cell r="D416">
            <v>172</v>
          </cell>
          <cell r="E416">
            <v>6023</v>
          </cell>
        </row>
        <row r="417">
          <cell r="B417">
            <v>154</v>
          </cell>
          <cell r="D417">
            <v>220</v>
          </cell>
          <cell r="E417">
            <v>6050</v>
          </cell>
        </row>
        <row r="418">
          <cell r="B418">
            <v>91</v>
          </cell>
          <cell r="D418">
            <v>172</v>
          </cell>
          <cell r="E418">
            <v>6090</v>
          </cell>
        </row>
        <row r="419">
          <cell r="B419">
            <v>81</v>
          </cell>
          <cell r="D419">
            <v>153</v>
          </cell>
          <cell r="E419">
            <v>5925</v>
          </cell>
        </row>
        <row r="420">
          <cell r="B420">
            <v>209</v>
          </cell>
          <cell r="D420">
            <v>184</v>
          </cell>
          <cell r="E420">
            <v>5967</v>
          </cell>
        </row>
        <row r="421">
          <cell r="B421">
            <v>184</v>
          </cell>
          <cell r="D421">
            <v>217</v>
          </cell>
          <cell r="E421">
            <v>6040</v>
          </cell>
        </row>
        <row r="422">
          <cell r="B422">
            <v>107</v>
          </cell>
          <cell r="D422">
            <v>230</v>
          </cell>
          <cell r="E422">
            <v>6091</v>
          </cell>
        </row>
        <row r="423">
          <cell r="B423">
            <v>101</v>
          </cell>
          <cell r="D423">
            <v>178</v>
          </cell>
          <cell r="E423">
            <v>6118</v>
          </cell>
        </row>
        <row r="424">
          <cell r="B424">
            <v>99</v>
          </cell>
          <cell r="D424">
            <v>176</v>
          </cell>
          <cell r="E424">
            <v>5968</v>
          </cell>
        </row>
        <row r="425">
          <cell r="B425">
            <v>167</v>
          </cell>
          <cell r="D425">
            <v>166</v>
          </cell>
          <cell r="E425">
            <v>6013</v>
          </cell>
        </row>
        <row r="426">
          <cell r="B426">
            <v>115</v>
          </cell>
          <cell r="D426">
            <v>169</v>
          </cell>
          <cell r="E426">
            <v>6047</v>
          </cell>
        </row>
        <row r="427">
          <cell r="B427">
            <v>84</v>
          </cell>
          <cell r="D427">
            <v>193</v>
          </cell>
          <cell r="E427">
            <v>6075</v>
          </cell>
        </row>
        <row r="428">
          <cell r="B428">
            <v>130</v>
          </cell>
          <cell r="D428">
            <v>192</v>
          </cell>
          <cell r="E428">
            <v>5889</v>
          </cell>
        </row>
        <row r="429">
          <cell r="B429">
            <v>88</v>
          </cell>
          <cell r="D429">
            <v>160</v>
          </cell>
          <cell r="E429">
            <v>5935</v>
          </cell>
        </row>
        <row r="430">
          <cell r="B430">
            <v>113</v>
          </cell>
          <cell r="D430">
            <v>159</v>
          </cell>
          <cell r="E430">
            <v>6013</v>
          </cell>
        </row>
        <row r="431">
          <cell r="B431">
            <v>174</v>
          </cell>
          <cell r="D431">
            <v>150</v>
          </cell>
          <cell r="E431">
            <v>6036</v>
          </cell>
        </row>
        <row r="432">
          <cell r="B432">
            <v>104</v>
          </cell>
          <cell r="D432">
            <v>206</v>
          </cell>
          <cell r="E432">
            <v>6076</v>
          </cell>
        </row>
        <row r="433">
          <cell r="B433">
            <v>147</v>
          </cell>
          <cell r="D433">
            <v>214</v>
          </cell>
          <cell r="E433">
            <v>5918</v>
          </cell>
        </row>
        <row r="434">
          <cell r="B434">
            <v>108</v>
          </cell>
          <cell r="D434">
            <v>213</v>
          </cell>
          <cell r="E434">
            <v>5966</v>
          </cell>
        </row>
        <row r="435">
          <cell r="B435">
            <v>180</v>
          </cell>
          <cell r="D435">
            <v>146</v>
          </cell>
          <cell r="E435">
            <v>6043</v>
          </cell>
        </row>
        <row r="436">
          <cell r="B436">
            <v>134</v>
          </cell>
          <cell r="D436">
            <v>186</v>
          </cell>
          <cell r="E436">
            <v>6077</v>
          </cell>
        </row>
        <row r="437">
          <cell r="B437">
            <v>202</v>
          </cell>
          <cell r="D437">
            <v>158</v>
          </cell>
          <cell r="E437">
            <v>5974</v>
          </cell>
        </row>
        <row r="438">
          <cell r="B438">
            <v>110</v>
          </cell>
          <cell r="D438">
            <v>193</v>
          </cell>
          <cell r="E438">
            <v>6008</v>
          </cell>
        </row>
        <row r="439">
          <cell r="B439">
            <v>166</v>
          </cell>
          <cell r="D439">
            <v>229</v>
          </cell>
          <cell r="E439">
            <v>6106</v>
          </cell>
        </row>
        <row r="440">
          <cell r="B440">
            <v>136</v>
          </cell>
          <cell r="D440">
            <v>178</v>
          </cell>
          <cell r="E440">
            <v>6149</v>
          </cell>
        </row>
        <row r="441">
          <cell r="B441">
            <v>87</v>
          </cell>
          <cell r="D441">
            <v>173</v>
          </cell>
          <cell r="E441">
            <v>6148</v>
          </cell>
        </row>
        <row r="442">
          <cell r="B442">
            <v>84</v>
          </cell>
          <cell r="D442">
            <v>157</v>
          </cell>
          <cell r="E442">
            <v>5990</v>
          </cell>
        </row>
        <row r="443">
          <cell r="B443">
            <v>167</v>
          </cell>
          <cell r="D443">
            <v>157</v>
          </cell>
          <cell r="E443">
            <v>6007</v>
          </cell>
        </row>
        <row r="444">
          <cell r="B444">
            <v>109</v>
          </cell>
          <cell r="D444">
            <v>159</v>
          </cell>
          <cell r="E444">
            <v>6045</v>
          </cell>
        </row>
        <row r="445">
          <cell r="B445">
            <v>156</v>
          </cell>
          <cell r="D445">
            <v>176</v>
          </cell>
          <cell r="E445">
            <v>6086</v>
          </cell>
        </row>
        <row r="446">
          <cell r="B446">
            <v>125</v>
          </cell>
          <cell r="D446">
            <v>192</v>
          </cell>
          <cell r="E446">
            <v>6084</v>
          </cell>
        </row>
        <row r="447">
          <cell r="B447">
            <v>118</v>
          </cell>
          <cell r="D447">
            <v>168</v>
          </cell>
          <cell r="E447">
            <v>5963</v>
          </cell>
        </row>
        <row r="448">
          <cell r="B448">
            <v>142</v>
          </cell>
          <cell r="D448">
            <v>139</v>
          </cell>
          <cell r="E448">
            <v>5975</v>
          </cell>
        </row>
        <row r="449">
          <cell r="B449">
            <v>148</v>
          </cell>
          <cell r="D449">
            <v>175</v>
          </cell>
          <cell r="E449">
            <v>5966</v>
          </cell>
        </row>
        <row r="450">
          <cell r="B450">
            <v>119</v>
          </cell>
          <cell r="D450">
            <v>210</v>
          </cell>
          <cell r="E450">
            <v>6025</v>
          </cell>
        </row>
        <row r="451">
          <cell r="B451">
            <v>105</v>
          </cell>
          <cell r="D451">
            <v>149</v>
          </cell>
          <cell r="E451">
            <v>5816</v>
          </cell>
        </row>
        <row r="452">
          <cell r="B452">
            <v>143</v>
          </cell>
          <cell r="D452">
            <v>163</v>
          </cell>
          <cell r="E452">
            <v>5819</v>
          </cell>
        </row>
        <row r="453">
          <cell r="B453">
            <v>119</v>
          </cell>
          <cell r="D453">
            <v>152</v>
          </cell>
          <cell r="E453">
            <v>5844</v>
          </cell>
        </row>
        <row r="454">
          <cell r="B454">
            <v>155</v>
          </cell>
          <cell r="D454">
            <v>181</v>
          </cell>
          <cell r="E454">
            <v>5879</v>
          </cell>
        </row>
        <row r="455">
          <cell r="B455">
            <v>109</v>
          </cell>
          <cell r="D455">
            <v>173</v>
          </cell>
          <cell r="E455">
            <v>5850</v>
          </cell>
        </row>
        <row r="456">
          <cell r="B456">
            <v>191</v>
          </cell>
          <cell r="D456">
            <v>192</v>
          </cell>
          <cell r="E456">
            <v>5664</v>
          </cell>
        </row>
        <row r="457">
          <cell r="B457">
            <v>170</v>
          </cell>
          <cell r="D457">
            <v>196</v>
          </cell>
          <cell r="E457">
            <v>5715</v>
          </cell>
        </row>
        <row r="458">
          <cell r="B458">
            <v>152</v>
          </cell>
          <cell r="D458">
            <v>214</v>
          </cell>
          <cell r="E458">
            <v>5826</v>
          </cell>
        </row>
        <row r="459">
          <cell r="B459">
            <v>239</v>
          </cell>
          <cell r="D459">
            <v>224</v>
          </cell>
          <cell r="E459">
            <v>5862</v>
          </cell>
        </row>
        <row r="460">
          <cell r="B460">
            <v>113</v>
          </cell>
          <cell r="D460">
            <v>237</v>
          </cell>
          <cell r="E460">
            <v>5963</v>
          </cell>
        </row>
        <row r="461">
          <cell r="B461">
            <v>196</v>
          </cell>
          <cell r="D461">
            <v>187</v>
          </cell>
          <cell r="E461">
            <v>5986</v>
          </cell>
        </row>
        <row r="462">
          <cell r="B462">
            <v>236</v>
          </cell>
          <cell r="D462">
            <v>222</v>
          </cell>
          <cell r="E462">
            <v>6061</v>
          </cell>
        </row>
        <row r="463">
          <cell r="B463">
            <v>81</v>
          </cell>
          <cell r="D463">
            <v>242</v>
          </cell>
          <cell r="E463">
            <v>6192</v>
          </cell>
        </row>
        <row r="464">
          <cell r="B464">
            <v>118</v>
          </cell>
          <cell r="D464">
            <v>160</v>
          </cell>
          <cell r="E464">
            <v>6269</v>
          </cell>
        </row>
        <row r="465">
          <cell r="B465">
            <v>218</v>
          </cell>
          <cell r="D465">
            <v>208</v>
          </cell>
          <cell r="E465">
            <v>6310</v>
          </cell>
        </row>
        <row r="466">
          <cell r="B466">
            <v>132</v>
          </cell>
          <cell r="D466">
            <v>183</v>
          </cell>
          <cell r="E466">
            <v>6286</v>
          </cell>
        </row>
        <row r="467">
          <cell r="B467">
            <v>224</v>
          </cell>
          <cell r="D467">
            <v>152</v>
          </cell>
          <cell r="E467">
            <v>6268</v>
          </cell>
        </row>
        <row r="468">
          <cell r="B468">
            <v>167</v>
          </cell>
          <cell r="D468">
            <v>213</v>
          </cell>
          <cell r="E468">
            <v>6310</v>
          </cell>
        </row>
        <row r="469">
          <cell r="B469">
            <v>209</v>
          </cell>
          <cell r="D469">
            <v>232</v>
          </cell>
          <cell r="E469">
            <v>6402</v>
          </cell>
        </row>
        <row r="470">
          <cell r="B470">
            <v>153</v>
          </cell>
          <cell r="D470">
            <v>286</v>
          </cell>
          <cell r="E470">
            <v>6481</v>
          </cell>
        </row>
        <row r="471">
          <cell r="B471">
            <v>180</v>
          </cell>
          <cell r="D471">
            <v>219</v>
          </cell>
          <cell r="E471">
            <v>6408</v>
          </cell>
        </row>
        <row r="472">
          <cell r="B472">
            <v>133</v>
          </cell>
          <cell r="D472">
            <v>189</v>
          </cell>
          <cell r="E472">
            <v>6454</v>
          </cell>
        </row>
        <row r="473">
          <cell r="B473">
            <v>187</v>
          </cell>
          <cell r="D473">
            <v>247</v>
          </cell>
          <cell r="E473">
            <v>6506</v>
          </cell>
        </row>
        <row r="474">
          <cell r="B474">
            <v>168</v>
          </cell>
          <cell r="D474">
            <v>210</v>
          </cell>
          <cell r="E474">
            <v>6598</v>
          </cell>
        </row>
        <row r="475">
          <cell r="B475">
            <v>269</v>
          </cell>
          <cell r="D475">
            <v>204</v>
          </cell>
          <cell r="E475">
            <v>6600</v>
          </cell>
        </row>
        <row r="476">
          <cell r="B476">
            <v>100</v>
          </cell>
          <cell r="D476">
            <v>236</v>
          </cell>
          <cell r="E476">
            <v>6595</v>
          </cell>
        </row>
        <row r="477">
          <cell r="B477">
            <v>205</v>
          </cell>
          <cell r="D477">
            <v>177</v>
          </cell>
          <cell r="E477">
            <v>6548</v>
          </cell>
        </row>
        <row r="478">
          <cell r="B478">
            <v>161</v>
          </cell>
          <cell r="D478">
            <v>211</v>
          </cell>
          <cell r="E478">
            <v>6622</v>
          </cell>
        </row>
        <row r="479">
          <cell r="B479">
            <v>57</v>
          </cell>
          <cell r="D479">
            <v>193</v>
          </cell>
          <cell r="E479">
            <v>6689</v>
          </cell>
        </row>
        <row r="480">
          <cell r="B480">
            <v>80</v>
          </cell>
          <cell r="D480">
            <v>152</v>
          </cell>
          <cell r="E480">
            <v>6707</v>
          </cell>
        </row>
        <row r="481">
          <cell r="B481">
            <v>107</v>
          </cell>
          <cell r="D481">
            <v>133</v>
          </cell>
          <cell r="E481">
            <v>6465</v>
          </cell>
        </row>
        <row r="482">
          <cell r="B482">
            <v>99</v>
          </cell>
          <cell r="D482">
            <v>139</v>
          </cell>
          <cell r="E482">
            <v>6454</v>
          </cell>
        </row>
        <row r="483">
          <cell r="B483">
            <v>25</v>
          </cell>
          <cell r="D483">
            <v>94</v>
          </cell>
          <cell r="E483">
            <v>6405</v>
          </cell>
        </row>
        <row r="484">
          <cell r="B484">
            <v>35</v>
          </cell>
          <cell r="D484">
            <v>53</v>
          </cell>
          <cell r="E484">
            <v>6292</v>
          </cell>
        </row>
        <row r="485">
          <cell r="B485">
            <v>43</v>
          </cell>
          <cell r="D485">
            <v>64</v>
          </cell>
          <cell r="E485">
            <v>5882</v>
          </cell>
        </row>
        <row r="486">
          <cell r="B486">
            <v>41</v>
          </cell>
          <cell r="D486">
            <v>71</v>
          </cell>
          <cell r="E486">
            <v>5769</v>
          </cell>
        </row>
        <row r="487">
          <cell r="B487">
            <v>65</v>
          </cell>
          <cell r="D487">
            <v>65</v>
          </cell>
          <cell r="E487">
            <v>5703</v>
          </cell>
        </row>
        <row r="488">
          <cell r="B488">
            <v>38</v>
          </cell>
          <cell r="D488">
            <v>82</v>
          </cell>
          <cell r="E488">
            <v>5605</v>
          </cell>
        </row>
        <row r="489">
          <cell r="B489">
            <v>56</v>
          </cell>
          <cell r="D489">
            <v>68</v>
          </cell>
          <cell r="E489">
            <v>5507</v>
          </cell>
        </row>
        <row r="490">
          <cell r="B490">
            <v>74</v>
          </cell>
          <cell r="D490">
            <v>80</v>
          </cell>
          <cell r="E490">
            <v>5092</v>
          </cell>
        </row>
        <row r="491">
          <cell r="B491">
            <v>68</v>
          </cell>
          <cell r="D491">
            <v>102</v>
          </cell>
          <cell r="E491">
            <v>5019</v>
          </cell>
        </row>
        <row r="492">
          <cell r="B492">
            <v>92</v>
          </cell>
          <cell r="D492">
            <v>93</v>
          </cell>
          <cell r="E492">
            <v>4957</v>
          </cell>
        </row>
        <row r="493">
          <cell r="B493">
            <v>113</v>
          </cell>
          <cell r="D493">
            <v>107</v>
          </cell>
          <cell r="E493">
            <v>4903</v>
          </cell>
        </row>
        <row r="494">
          <cell r="B494">
            <v>106</v>
          </cell>
          <cell r="D494">
            <v>131</v>
          </cell>
          <cell r="E494">
            <v>4881</v>
          </cell>
        </row>
        <row r="495">
          <cell r="B495">
            <v>86</v>
          </cell>
          <cell r="D495">
            <v>168</v>
          </cell>
          <cell r="E495">
            <v>4628</v>
          </cell>
        </row>
        <row r="496">
          <cell r="B496">
            <v>84</v>
          </cell>
          <cell r="D496">
            <v>136</v>
          </cell>
          <cell r="E496">
            <v>4638</v>
          </cell>
        </row>
        <row r="497">
          <cell r="B497">
            <v>59</v>
          </cell>
          <cell r="D497">
            <v>117</v>
          </cell>
          <cell r="E497">
            <v>4728</v>
          </cell>
        </row>
        <row r="498">
          <cell r="B498">
            <v>62</v>
          </cell>
          <cell r="D498">
            <v>52</v>
          </cell>
          <cell r="E498">
            <v>4717</v>
          </cell>
        </row>
        <row r="499">
          <cell r="B499">
            <v>91</v>
          </cell>
          <cell r="D499">
            <v>97</v>
          </cell>
          <cell r="E499">
            <v>4621</v>
          </cell>
        </row>
        <row r="500">
          <cell r="B500">
            <v>29</v>
          </cell>
          <cell r="D500">
            <v>11</v>
          </cell>
          <cell r="E500">
            <v>4241</v>
          </cell>
        </row>
        <row r="501">
          <cell r="B501">
            <v>33</v>
          </cell>
          <cell r="D501">
            <v>34</v>
          </cell>
          <cell r="E501">
            <v>4161</v>
          </cell>
        </row>
        <row r="502">
          <cell r="B502">
            <v>32</v>
          </cell>
          <cell r="D502">
            <v>39</v>
          </cell>
          <cell r="E502">
            <v>4096</v>
          </cell>
        </row>
        <row r="503">
          <cell r="B503">
            <v>32</v>
          </cell>
          <cell r="D503">
            <v>39</v>
          </cell>
          <cell r="E503">
            <v>4036</v>
          </cell>
        </row>
        <row r="504">
          <cell r="B504">
            <v>47</v>
          </cell>
          <cell r="D504">
            <v>47</v>
          </cell>
          <cell r="E504">
            <v>3923</v>
          </cell>
        </row>
        <row r="505">
          <cell r="B505">
            <v>20</v>
          </cell>
          <cell r="D505">
            <v>41</v>
          </cell>
          <cell r="E505">
            <v>3483</v>
          </cell>
        </row>
        <row r="506">
          <cell r="B506">
            <v>23</v>
          </cell>
          <cell r="D506">
            <v>11</v>
          </cell>
          <cell r="E506">
            <v>3403</v>
          </cell>
        </row>
        <row r="507">
          <cell r="B507">
            <v>34</v>
          </cell>
          <cell r="D507">
            <v>29</v>
          </cell>
          <cell r="E507">
            <v>3359</v>
          </cell>
        </row>
        <row r="508">
          <cell r="B508">
            <v>26</v>
          </cell>
          <cell r="D508">
            <v>36</v>
          </cell>
          <cell r="E508">
            <v>3290</v>
          </cell>
        </row>
        <row r="509">
          <cell r="B509">
            <v>25</v>
          </cell>
          <cell r="D509">
            <v>27</v>
          </cell>
          <cell r="E509">
            <v>3181</v>
          </cell>
        </row>
        <row r="510">
          <cell r="B510">
            <v>15</v>
          </cell>
          <cell r="D510">
            <v>23</v>
          </cell>
          <cell r="E510">
            <v>2878</v>
          </cell>
        </row>
        <row r="511">
          <cell r="B511">
            <v>16</v>
          </cell>
          <cell r="D511">
            <v>15</v>
          </cell>
          <cell r="E511">
            <v>2834</v>
          </cell>
        </row>
        <row r="512">
          <cell r="B512">
            <v>11</v>
          </cell>
          <cell r="D512">
            <v>12</v>
          </cell>
          <cell r="E512">
            <v>2799</v>
          </cell>
        </row>
        <row r="513">
          <cell r="B513">
            <v>16</v>
          </cell>
          <cell r="D513">
            <v>20</v>
          </cell>
          <cell r="E513">
            <v>2752</v>
          </cell>
        </row>
        <row r="514">
          <cell r="B514">
            <v>15</v>
          </cell>
          <cell r="D514">
            <v>23</v>
          </cell>
          <cell r="E514">
            <v>2703</v>
          </cell>
        </row>
        <row r="515">
          <cell r="B515">
            <v>8</v>
          </cell>
          <cell r="D515">
            <v>14</v>
          </cell>
          <cell r="E515">
            <v>2532</v>
          </cell>
        </row>
        <row r="516">
          <cell r="B516">
            <v>18</v>
          </cell>
          <cell r="D516">
            <v>11</v>
          </cell>
          <cell r="E516">
            <v>2536</v>
          </cell>
        </row>
        <row r="517">
          <cell r="B517">
            <v>12</v>
          </cell>
          <cell r="D517">
            <v>17</v>
          </cell>
          <cell r="E517">
            <v>2528</v>
          </cell>
        </row>
        <row r="518">
          <cell r="B518">
            <v>13</v>
          </cell>
          <cell r="D518">
            <v>15</v>
          </cell>
          <cell r="E518">
            <v>2520</v>
          </cell>
        </row>
        <row r="519">
          <cell r="B519">
            <v>7</v>
          </cell>
          <cell r="D519">
            <v>8</v>
          </cell>
          <cell r="E519">
            <v>2423</v>
          </cell>
        </row>
        <row r="520">
          <cell r="B520">
            <v>20</v>
          </cell>
          <cell r="D520">
            <v>14</v>
          </cell>
          <cell r="E520">
            <v>2413</v>
          </cell>
        </row>
        <row r="521">
          <cell r="B521">
            <v>11</v>
          </cell>
          <cell r="D521">
            <v>7</v>
          </cell>
          <cell r="E521">
            <v>2413</v>
          </cell>
        </row>
        <row r="522">
          <cell r="B522">
            <v>12</v>
          </cell>
          <cell r="D522">
            <v>1</v>
          </cell>
          <cell r="E522">
            <v>2411</v>
          </cell>
        </row>
        <row r="523">
          <cell r="B523">
            <v>10</v>
          </cell>
          <cell r="D523">
            <v>17</v>
          </cell>
          <cell r="E523">
            <v>2391</v>
          </cell>
        </row>
        <row r="524">
          <cell r="B524">
            <v>12</v>
          </cell>
          <cell r="D524">
            <v>4</v>
          </cell>
          <cell r="E524">
            <v>2297</v>
          </cell>
        </row>
        <row r="525">
          <cell r="B525">
            <v>8</v>
          </cell>
          <cell r="D525">
            <v>18</v>
          </cell>
          <cell r="E525">
            <v>2287</v>
          </cell>
        </row>
        <row r="526">
          <cell r="B526">
            <v>4</v>
          </cell>
          <cell r="D526">
            <v>10</v>
          </cell>
          <cell r="E526">
            <v>2272</v>
          </cell>
        </row>
        <row r="527">
          <cell r="B527">
            <v>5</v>
          </cell>
          <cell r="D527">
            <v>4</v>
          </cell>
          <cell r="E527">
            <v>2238</v>
          </cell>
        </row>
        <row r="528">
          <cell r="B528">
            <v>7</v>
          </cell>
          <cell r="D528">
            <v>6</v>
          </cell>
          <cell r="E528">
            <v>2218</v>
          </cell>
        </row>
        <row r="529">
          <cell r="B529">
            <v>12</v>
          </cell>
          <cell r="D529">
            <v>15</v>
          </cell>
          <cell r="E529">
            <v>2137</v>
          </cell>
        </row>
        <row r="530">
          <cell r="B530">
            <v>6</v>
          </cell>
          <cell r="D530">
            <v>8</v>
          </cell>
          <cell r="E530">
            <v>2125</v>
          </cell>
        </row>
        <row r="531">
          <cell r="B531">
            <v>3</v>
          </cell>
          <cell r="D531">
            <v>7</v>
          </cell>
          <cell r="E531">
            <v>2116</v>
          </cell>
        </row>
        <row r="532">
          <cell r="B532">
            <v>6</v>
          </cell>
          <cell r="D532">
            <v>2</v>
          </cell>
          <cell r="E532">
            <v>2113</v>
          </cell>
        </row>
        <row r="533">
          <cell r="B533">
            <v>4</v>
          </cell>
          <cell r="D533">
            <v>9</v>
          </cell>
          <cell r="E533">
            <v>2116</v>
          </cell>
        </row>
        <row r="534">
          <cell r="B534">
            <v>1</v>
          </cell>
          <cell r="D534">
            <v>8</v>
          </cell>
          <cell r="E534">
            <v>2117</v>
          </cell>
        </row>
        <row r="535">
          <cell r="B535">
            <v>5</v>
          </cell>
          <cell r="D535">
            <v>0</v>
          </cell>
          <cell r="E535">
            <v>2111</v>
          </cell>
        </row>
        <row r="536">
          <cell r="B536">
            <v>19</v>
          </cell>
          <cell r="D536">
            <v>6</v>
          </cell>
          <cell r="E536">
            <v>2109</v>
          </cell>
        </row>
        <row r="537">
          <cell r="B537">
            <v>6</v>
          </cell>
          <cell r="D537">
            <v>14</v>
          </cell>
          <cell r="E537">
            <v>2119</v>
          </cell>
        </row>
        <row r="538">
          <cell r="B538">
            <v>9</v>
          </cell>
          <cell r="D538">
            <v>11</v>
          </cell>
          <cell r="E538">
            <v>2124</v>
          </cell>
        </row>
        <row r="539">
          <cell r="B539">
            <v>15</v>
          </cell>
          <cell r="D539">
            <v>9</v>
          </cell>
          <cell r="E539">
            <v>2136</v>
          </cell>
        </row>
        <row r="540">
          <cell r="B540">
            <v>7</v>
          </cell>
          <cell r="D540">
            <v>11</v>
          </cell>
          <cell r="E540">
            <v>2139</v>
          </cell>
        </row>
        <row r="541">
          <cell r="B541">
            <v>12</v>
          </cell>
          <cell r="D541">
            <v>7</v>
          </cell>
          <cell r="E541">
            <v>2145</v>
          </cell>
        </row>
        <row r="542">
          <cell r="B542">
            <v>9</v>
          </cell>
          <cell r="D542">
            <v>15</v>
          </cell>
          <cell r="E542">
            <v>2159</v>
          </cell>
        </row>
        <row r="543">
          <cell r="B543">
            <v>1</v>
          </cell>
          <cell r="D543">
            <v>13</v>
          </cell>
          <cell r="E543">
            <v>2159</v>
          </cell>
        </row>
        <row r="544">
          <cell r="B544">
            <v>9</v>
          </cell>
          <cell r="D544">
            <v>5</v>
          </cell>
          <cell r="E544">
            <v>2188</v>
          </cell>
        </row>
        <row r="545">
          <cell r="B545">
            <v>9</v>
          </cell>
          <cell r="D545">
            <v>8</v>
          </cell>
          <cell r="E545">
            <v>2193</v>
          </cell>
        </row>
        <row r="546">
          <cell r="B546">
            <v>17</v>
          </cell>
          <cell r="D546">
            <v>7</v>
          </cell>
          <cell r="E546">
            <v>2191</v>
          </cell>
        </row>
        <row r="547">
          <cell r="B547">
            <v>5</v>
          </cell>
          <cell r="D547">
            <v>16</v>
          </cell>
          <cell r="E547">
            <v>2208</v>
          </cell>
        </row>
        <row r="548">
          <cell r="B548">
            <v>12</v>
          </cell>
          <cell r="D548">
            <v>18</v>
          </cell>
          <cell r="E548">
            <v>2223</v>
          </cell>
        </row>
        <row r="549">
          <cell r="B549">
            <v>7</v>
          </cell>
          <cell r="D549">
            <v>7</v>
          </cell>
          <cell r="E549">
            <v>2234</v>
          </cell>
        </row>
        <row r="550">
          <cell r="B550">
            <v>12</v>
          </cell>
          <cell r="D550">
            <v>9</v>
          </cell>
          <cell r="E550">
            <v>2237</v>
          </cell>
        </row>
        <row r="551">
          <cell r="B551">
            <v>12</v>
          </cell>
          <cell r="D551">
            <v>12</v>
          </cell>
          <cell r="E551">
            <v>2243</v>
          </cell>
        </row>
        <row r="552">
          <cell r="B552">
            <v>6</v>
          </cell>
          <cell r="D552">
            <v>10</v>
          </cell>
          <cell r="E552">
            <v>2251</v>
          </cell>
        </row>
        <row r="553">
          <cell r="B553">
            <v>18</v>
          </cell>
          <cell r="D553">
            <v>17</v>
          </cell>
          <cell r="E553">
            <v>2265</v>
          </cell>
        </row>
        <row r="554">
          <cell r="B554">
            <v>8</v>
          </cell>
          <cell r="D554">
            <v>8</v>
          </cell>
          <cell r="E554">
            <v>2267</v>
          </cell>
        </row>
        <row r="555">
          <cell r="B555">
            <v>5</v>
          </cell>
          <cell r="D555">
            <v>10</v>
          </cell>
          <cell r="E555">
            <v>2283</v>
          </cell>
        </row>
        <row r="556">
          <cell r="B556">
            <v>5</v>
          </cell>
          <cell r="D556">
            <v>9</v>
          </cell>
          <cell r="E556">
            <v>2282</v>
          </cell>
        </row>
        <row r="557">
          <cell r="B557">
            <v>4</v>
          </cell>
          <cell r="D557">
            <v>12</v>
          </cell>
          <cell r="E557">
            <v>2286</v>
          </cell>
        </row>
        <row r="558">
          <cell r="B558">
            <v>11</v>
          </cell>
          <cell r="D558">
            <v>5</v>
          </cell>
          <cell r="E558">
            <v>2291</v>
          </cell>
        </row>
        <row r="559">
          <cell r="B559">
            <v>7</v>
          </cell>
          <cell r="D559">
            <v>10</v>
          </cell>
          <cell r="E559">
            <v>2288</v>
          </cell>
        </row>
        <row r="560">
          <cell r="B560">
            <v>4</v>
          </cell>
          <cell r="D560">
            <v>6</v>
          </cell>
          <cell r="E560">
            <v>2305</v>
          </cell>
        </row>
        <row r="561">
          <cell r="B561">
            <v>10</v>
          </cell>
          <cell r="D561">
            <v>5</v>
          </cell>
          <cell r="E561">
            <v>2308</v>
          </cell>
        </row>
        <row r="562">
          <cell r="B562">
            <v>7</v>
          </cell>
          <cell r="D562">
            <v>14</v>
          </cell>
          <cell r="E562">
            <v>2305</v>
          </cell>
        </row>
        <row r="563">
          <cell r="B563">
            <v>3</v>
          </cell>
          <cell r="D563">
            <v>4</v>
          </cell>
          <cell r="E563">
            <v>2300</v>
          </cell>
        </row>
        <row r="564">
          <cell r="B564">
            <v>3</v>
          </cell>
          <cell r="D564">
            <v>7</v>
          </cell>
          <cell r="E564">
            <v>2294</v>
          </cell>
        </row>
        <row r="565">
          <cell r="B565">
            <v>9</v>
          </cell>
          <cell r="D565">
            <v>12</v>
          </cell>
          <cell r="E565">
            <v>2301</v>
          </cell>
        </row>
        <row r="566">
          <cell r="B566">
            <v>6</v>
          </cell>
          <cell r="D566">
            <v>12</v>
          </cell>
          <cell r="E566">
            <v>2307</v>
          </cell>
        </row>
        <row r="567">
          <cell r="B567">
            <v>11</v>
          </cell>
          <cell r="D567">
            <v>11</v>
          </cell>
          <cell r="E567">
            <v>2304</v>
          </cell>
        </row>
        <row r="568">
          <cell r="B568">
            <v>7</v>
          </cell>
          <cell r="D568">
            <v>9</v>
          </cell>
          <cell r="E568">
            <v>2309</v>
          </cell>
        </row>
        <row r="569">
          <cell r="B569">
            <v>13</v>
          </cell>
          <cell r="D569">
            <v>14</v>
          </cell>
          <cell r="E569">
            <v>2306</v>
          </cell>
        </row>
        <row r="570">
          <cell r="B570">
            <v>9</v>
          </cell>
          <cell r="D570">
            <v>10</v>
          </cell>
          <cell r="E570">
            <v>2335</v>
          </cell>
        </row>
        <row r="571">
          <cell r="B571">
            <v>15</v>
          </cell>
          <cell r="D571">
            <v>20</v>
          </cell>
          <cell r="E571">
            <v>2331</v>
          </cell>
        </row>
        <row r="572">
          <cell r="B572">
            <v>10</v>
          </cell>
          <cell r="D572">
            <v>16</v>
          </cell>
          <cell r="E572">
            <v>2339</v>
          </cell>
        </row>
        <row r="573">
          <cell r="B573">
            <v>10</v>
          </cell>
          <cell r="D573">
            <v>15</v>
          </cell>
          <cell r="E573">
            <v>2335</v>
          </cell>
        </row>
        <row r="574">
          <cell r="B574">
            <v>15</v>
          </cell>
          <cell r="D574">
            <v>16</v>
          </cell>
          <cell r="E574">
            <v>2361</v>
          </cell>
        </row>
        <row r="575">
          <cell r="B575">
            <v>15</v>
          </cell>
          <cell r="D575">
            <v>12</v>
          </cell>
          <cell r="E575">
            <v>2385</v>
          </cell>
        </row>
        <row r="576">
          <cell r="B576">
            <v>7</v>
          </cell>
          <cell r="D576">
            <v>14</v>
          </cell>
          <cell r="E576">
            <v>2392</v>
          </cell>
        </row>
        <row r="577">
          <cell r="B577">
            <v>18</v>
          </cell>
          <cell r="D577">
            <v>12</v>
          </cell>
          <cell r="E577">
            <v>2394</v>
          </cell>
        </row>
        <row r="578">
          <cell r="B578">
            <v>7</v>
          </cell>
          <cell r="D578">
            <v>14</v>
          </cell>
          <cell r="E578">
            <v>2394</v>
          </cell>
        </row>
        <row r="579">
          <cell r="B579">
            <v>15</v>
          </cell>
          <cell r="D579">
            <v>14</v>
          </cell>
          <cell r="E579">
            <v>2410</v>
          </cell>
        </row>
        <row r="580">
          <cell r="B580">
            <v>13</v>
          </cell>
          <cell r="D580">
            <v>14</v>
          </cell>
          <cell r="E580">
            <v>2437</v>
          </cell>
        </row>
        <row r="581">
          <cell r="B581">
            <v>7</v>
          </cell>
          <cell r="D581">
            <v>17</v>
          </cell>
          <cell r="E581">
            <v>2457</v>
          </cell>
        </row>
        <row r="582">
          <cell r="B582">
            <v>14</v>
          </cell>
          <cell r="D582">
            <v>13</v>
          </cell>
          <cell r="E582">
            <v>2467</v>
          </cell>
        </row>
        <row r="583">
          <cell r="B583">
            <v>18</v>
          </cell>
          <cell r="D583">
            <v>17</v>
          </cell>
          <cell r="E583">
            <v>2473</v>
          </cell>
        </row>
        <row r="584">
          <cell r="B584">
            <v>6</v>
          </cell>
          <cell r="D584">
            <v>7</v>
          </cell>
          <cell r="E584">
            <v>2504</v>
          </cell>
        </row>
        <row r="585">
          <cell r="B585">
            <v>12</v>
          </cell>
          <cell r="D585">
            <v>12</v>
          </cell>
          <cell r="E585">
            <v>2499</v>
          </cell>
        </row>
        <row r="586">
          <cell r="B586">
            <v>13</v>
          </cell>
          <cell r="D586">
            <v>15</v>
          </cell>
          <cell r="E586">
            <v>2506</v>
          </cell>
        </row>
        <row r="587">
          <cell r="B587">
            <v>8</v>
          </cell>
          <cell r="D587">
            <v>16</v>
          </cell>
          <cell r="E587">
            <v>2528</v>
          </cell>
        </row>
        <row r="588">
          <cell r="B588">
            <v>10</v>
          </cell>
          <cell r="D588">
            <v>5</v>
          </cell>
          <cell r="E588">
            <v>2518</v>
          </cell>
        </row>
        <row r="589">
          <cell r="B589">
            <v>5</v>
          </cell>
          <cell r="D589">
            <v>11</v>
          </cell>
          <cell r="E589">
            <v>2519</v>
          </cell>
        </row>
        <row r="590">
          <cell r="B590">
            <v>4</v>
          </cell>
          <cell r="D590">
            <v>9</v>
          </cell>
          <cell r="E590">
            <v>2516</v>
          </cell>
        </row>
        <row r="591">
          <cell r="B591">
            <v>8</v>
          </cell>
          <cell r="D591">
            <v>5</v>
          </cell>
          <cell r="E591">
            <v>2503</v>
          </cell>
        </row>
        <row r="592">
          <cell r="B592">
            <v>10</v>
          </cell>
          <cell r="D592">
            <v>15</v>
          </cell>
          <cell r="E592">
            <v>2507</v>
          </cell>
        </row>
        <row r="593">
          <cell r="B593">
            <v>8</v>
          </cell>
          <cell r="D593">
            <v>14</v>
          </cell>
          <cell r="E593">
            <v>2516</v>
          </cell>
        </row>
        <row r="594">
          <cell r="B594">
            <v>17</v>
          </cell>
          <cell r="D594">
            <v>7</v>
          </cell>
          <cell r="E594">
            <v>2511</v>
          </cell>
        </row>
        <row r="595">
          <cell r="B595">
            <v>7</v>
          </cell>
          <cell r="D595">
            <v>10</v>
          </cell>
          <cell r="E595">
            <v>2523</v>
          </cell>
        </row>
        <row r="596">
          <cell r="B596">
            <v>8</v>
          </cell>
          <cell r="D596">
            <v>7</v>
          </cell>
          <cell r="E596">
            <v>2501</v>
          </cell>
        </row>
        <row r="597">
          <cell r="B597">
            <v>7</v>
          </cell>
          <cell r="D597">
            <v>5</v>
          </cell>
          <cell r="E597">
            <v>2508</v>
          </cell>
        </row>
        <row r="598">
          <cell r="B598">
            <v>3</v>
          </cell>
          <cell r="D598">
            <v>5</v>
          </cell>
          <cell r="E598">
            <v>2495</v>
          </cell>
        </row>
        <row r="599">
          <cell r="B599">
            <v>5</v>
          </cell>
          <cell r="D599">
            <v>5</v>
          </cell>
          <cell r="E599">
            <v>2489</v>
          </cell>
        </row>
        <row r="600">
          <cell r="B600">
            <v>6</v>
          </cell>
          <cell r="D600">
            <v>2</v>
          </cell>
          <cell r="E600">
            <v>2470</v>
          </cell>
        </row>
        <row r="601">
          <cell r="B601">
            <v>3</v>
          </cell>
          <cell r="D601">
            <v>7</v>
          </cell>
          <cell r="E601">
            <v>2447</v>
          </cell>
        </row>
        <row r="602">
          <cell r="B602">
            <v>5</v>
          </cell>
          <cell r="D602">
            <v>7</v>
          </cell>
          <cell r="E602">
            <v>2413</v>
          </cell>
        </row>
        <row r="603">
          <cell r="B603">
            <v>9</v>
          </cell>
          <cell r="D603">
            <v>8</v>
          </cell>
          <cell r="E603">
            <v>2407</v>
          </cell>
        </row>
        <row r="604">
          <cell r="B604">
            <v>7</v>
          </cell>
          <cell r="D604">
            <v>6</v>
          </cell>
          <cell r="E604">
            <v>2391</v>
          </cell>
        </row>
        <row r="605">
          <cell r="B605">
            <v>8</v>
          </cell>
          <cell r="D605">
            <v>9</v>
          </cell>
          <cell r="E605">
            <v>2373</v>
          </cell>
        </row>
        <row r="606">
          <cell r="B606">
            <v>4</v>
          </cell>
          <cell r="D606">
            <v>2</v>
          </cell>
          <cell r="E606">
            <v>2332</v>
          </cell>
        </row>
        <row r="607">
          <cell r="B607">
            <v>3</v>
          </cell>
          <cell r="D607">
            <v>8</v>
          </cell>
          <cell r="E607">
            <v>2317</v>
          </cell>
        </row>
        <row r="608">
          <cell r="B608">
            <v>5</v>
          </cell>
          <cell r="D608">
            <v>8</v>
          </cell>
          <cell r="E608">
            <v>2306</v>
          </cell>
        </row>
        <row r="609">
          <cell r="B609">
            <v>2</v>
          </cell>
          <cell r="D609">
            <v>0</v>
          </cell>
          <cell r="E609">
            <v>2281</v>
          </cell>
        </row>
        <row r="610">
          <cell r="B610">
            <v>2</v>
          </cell>
          <cell r="D610">
            <v>3</v>
          </cell>
          <cell r="E610">
            <v>2252</v>
          </cell>
        </row>
        <row r="611">
          <cell r="B611">
            <v>1</v>
          </cell>
          <cell r="D611">
            <v>4</v>
          </cell>
          <cell r="E611">
            <v>2204</v>
          </cell>
        </row>
        <row r="612">
          <cell r="B612">
            <v>2</v>
          </cell>
          <cell r="D612">
            <v>1</v>
          </cell>
          <cell r="E612">
            <v>2181</v>
          </cell>
        </row>
        <row r="613">
          <cell r="B613">
            <v>0</v>
          </cell>
          <cell r="D613">
            <v>5</v>
          </cell>
          <cell r="E613">
            <v>2171</v>
          </cell>
        </row>
        <row r="614">
          <cell r="B614">
            <v>1</v>
          </cell>
          <cell r="D614">
            <v>0</v>
          </cell>
          <cell r="E614">
            <v>2164</v>
          </cell>
        </row>
        <row r="615">
          <cell r="B615">
            <v>3</v>
          </cell>
          <cell r="D615">
            <v>2</v>
          </cell>
          <cell r="E615">
            <v>2153</v>
          </cell>
        </row>
        <row r="616">
          <cell r="B616">
            <v>4</v>
          </cell>
          <cell r="D616">
            <v>7</v>
          </cell>
          <cell r="E616">
            <v>2121</v>
          </cell>
        </row>
        <row r="617">
          <cell r="B617">
            <v>5</v>
          </cell>
          <cell r="D617">
            <v>3</v>
          </cell>
          <cell r="E617">
            <v>2117</v>
          </cell>
        </row>
        <row r="618">
          <cell r="B618">
            <v>6</v>
          </cell>
          <cell r="D618">
            <v>5</v>
          </cell>
          <cell r="E618">
            <v>2111</v>
          </cell>
        </row>
        <row r="619">
          <cell r="B619">
            <v>6</v>
          </cell>
          <cell r="D619">
            <v>7</v>
          </cell>
          <cell r="E619">
            <v>2096</v>
          </cell>
        </row>
        <row r="620">
          <cell r="B620">
            <v>1</v>
          </cell>
          <cell r="D620">
            <v>2</v>
          </cell>
          <cell r="E620">
            <v>2088</v>
          </cell>
        </row>
        <row r="621">
          <cell r="B621">
            <v>2</v>
          </cell>
          <cell r="D621">
            <v>3</v>
          </cell>
          <cell r="E621">
            <v>2080</v>
          </cell>
        </row>
        <row r="622">
          <cell r="B622">
            <v>2</v>
          </cell>
          <cell r="D622">
            <v>3</v>
          </cell>
          <cell r="E622">
            <v>2072</v>
          </cell>
        </row>
        <row r="623">
          <cell r="B623">
            <v>4</v>
          </cell>
          <cell r="D623">
            <v>4</v>
          </cell>
          <cell r="E623">
            <v>2063</v>
          </cell>
        </row>
        <row r="624">
          <cell r="B624">
            <v>2</v>
          </cell>
          <cell r="D624">
            <v>6</v>
          </cell>
          <cell r="E624">
            <v>2058</v>
          </cell>
        </row>
        <row r="625">
          <cell r="B625">
            <v>5</v>
          </cell>
          <cell r="D625">
            <v>3</v>
          </cell>
          <cell r="E625">
            <v>2049</v>
          </cell>
        </row>
        <row r="626">
          <cell r="B626">
            <v>5</v>
          </cell>
          <cell r="D626">
            <v>11</v>
          </cell>
          <cell r="E626">
            <v>2040</v>
          </cell>
        </row>
        <row r="627">
          <cell r="B627">
            <v>2</v>
          </cell>
          <cell r="D627">
            <v>10</v>
          </cell>
          <cell r="E627">
            <v>2042</v>
          </cell>
        </row>
        <row r="628">
          <cell r="B628">
            <v>4</v>
          </cell>
          <cell r="D628">
            <v>3</v>
          </cell>
          <cell r="E628">
            <v>2036</v>
          </cell>
        </row>
        <row r="629">
          <cell r="B629">
            <v>4</v>
          </cell>
          <cell r="D629">
            <v>6</v>
          </cell>
          <cell r="E629">
            <v>2031</v>
          </cell>
        </row>
        <row r="630">
          <cell r="B630">
            <v>0</v>
          </cell>
          <cell r="D630">
            <v>8</v>
          </cell>
          <cell r="E630">
            <v>2006</v>
          </cell>
        </row>
        <row r="631">
          <cell r="B631">
            <v>6</v>
          </cell>
          <cell r="D631">
            <v>4</v>
          </cell>
          <cell r="E631">
            <v>1999</v>
          </cell>
        </row>
        <row r="632">
          <cell r="B632">
            <v>8</v>
          </cell>
          <cell r="D632">
            <v>9</v>
          </cell>
          <cell r="E632">
            <v>1999</v>
          </cell>
        </row>
        <row r="633">
          <cell r="B633">
            <v>6</v>
          </cell>
          <cell r="D633">
            <v>12</v>
          </cell>
          <cell r="E633">
            <v>1997</v>
          </cell>
        </row>
        <row r="634">
          <cell r="B634">
            <v>3</v>
          </cell>
          <cell r="D634">
            <v>4</v>
          </cell>
          <cell r="E634">
            <v>1994</v>
          </cell>
        </row>
        <row r="635">
          <cell r="B635">
            <v>4</v>
          </cell>
          <cell r="D635">
            <v>2</v>
          </cell>
          <cell r="E635">
            <v>1991</v>
          </cell>
        </row>
        <row r="636">
          <cell r="B636">
            <v>4</v>
          </cell>
          <cell r="D636">
            <v>6</v>
          </cell>
          <cell r="E636">
            <v>1985</v>
          </cell>
        </row>
        <row r="637">
          <cell r="B637">
            <v>5</v>
          </cell>
          <cell r="D637">
            <v>3</v>
          </cell>
          <cell r="E637">
            <v>1980</v>
          </cell>
        </row>
        <row r="638">
          <cell r="B638">
            <v>10</v>
          </cell>
          <cell r="D638">
            <v>10</v>
          </cell>
          <cell r="E638">
            <v>1983</v>
          </cell>
        </row>
        <row r="639">
          <cell r="B639">
            <v>6</v>
          </cell>
          <cell r="D639">
            <v>8</v>
          </cell>
          <cell r="E639">
            <v>1972</v>
          </cell>
        </row>
        <row r="640">
          <cell r="B640">
            <v>4</v>
          </cell>
          <cell r="D640">
            <v>5</v>
          </cell>
          <cell r="E640">
            <v>1981</v>
          </cell>
        </row>
        <row r="641">
          <cell r="B641">
            <v>8</v>
          </cell>
          <cell r="D641">
            <v>8</v>
          </cell>
          <cell r="E641">
            <v>1980</v>
          </cell>
        </row>
        <row r="642">
          <cell r="B642">
            <v>10</v>
          </cell>
          <cell r="D642">
            <v>20</v>
          </cell>
          <cell r="E642">
            <v>1989</v>
          </cell>
        </row>
        <row r="643">
          <cell r="B643">
            <v>5</v>
          </cell>
          <cell r="D643">
            <v>9</v>
          </cell>
          <cell r="E643">
            <v>1988</v>
          </cell>
        </row>
        <row r="644">
          <cell r="B644">
            <v>8</v>
          </cell>
          <cell r="D644">
            <v>6</v>
          </cell>
          <cell r="E644">
            <v>1984</v>
          </cell>
        </row>
        <row r="645">
          <cell r="B645">
            <v>10</v>
          </cell>
          <cell r="D645">
            <v>17</v>
          </cell>
          <cell r="E645">
            <v>2010</v>
          </cell>
        </row>
        <row r="646">
          <cell r="B646">
            <v>6</v>
          </cell>
          <cell r="D646">
            <v>9</v>
          </cell>
          <cell r="E646">
            <v>2020</v>
          </cell>
        </row>
        <row r="647">
          <cell r="B647">
            <v>4</v>
          </cell>
          <cell r="D647">
            <v>11</v>
          </cell>
          <cell r="E647">
            <v>2019</v>
          </cell>
        </row>
        <row r="648">
          <cell r="B648">
            <v>11</v>
          </cell>
          <cell r="D648">
            <v>2</v>
          </cell>
          <cell r="E648">
            <v>2015</v>
          </cell>
        </row>
        <row r="649">
          <cell r="B649">
            <v>4</v>
          </cell>
          <cell r="D649">
            <v>9</v>
          </cell>
          <cell r="E649">
            <v>2026</v>
          </cell>
        </row>
        <row r="650">
          <cell r="B650">
            <v>7</v>
          </cell>
          <cell r="D650">
            <v>5</v>
          </cell>
          <cell r="E650">
            <v>2025</v>
          </cell>
        </row>
        <row r="651">
          <cell r="B651">
            <v>18</v>
          </cell>
          <cell r="D651">
            <v>11</v>
          </cell>
          <cell r="E651">
            <v>2023</v>
          </cell>
        </row>
        <row r="652">
          <cell r="B652">
            <v>10</v>
          </cell>
          <cell r="D652">
            <v>14</v>
          </cell>
          <cell r="E652">
            <v>2025</v>
          </cell>
        </row>
        <row r="653">
          <cell r="B653">
            <v>12</v>
          </cell>
          <cell r="D653">
            <v>29</v>
          </cell>
          <cell r="E653">
            <v>2047</v>
          </cell>
        </row>
        <row r="654">
          <cell r="B654">
            <v>7</v>
          </cell>
          <cell r="D654">
            <v>13</v>
          </cell>
          <cell r="E654">
            <v>2083</v>
          </cell>
        </row>
        <row r="655">
          <cell r="B655">
            <v>9</v>
          </cell>
          <cell r="D655">
            <v>10</v>
          </cell>
          <cell r="E655">
            <v>2086</v>
          </cell>
        </row>
        <row r="656">
          <cell r="B656">
            <v>7</v>
          </cell>
          <cell r="D656">
            <v>17</v>
          </cell>
          <cell r="E656">
            <v>2095</v>
          </cell>
        </row>
        <row r="657">
          <cell r="B657">
            <v>7</v>
          </cell>
          <cell r="D657">
            <v>5</v>
          </cell>
          <cell r="E657">
            <v>2096</v>
          </cell>
        </row>
        <row r="658">
          <cell r="B658">
            <v>20</v>
          </cell>
          <cell r="D658">
            <v>11</v>
          </cell>
          <cell r="E658">
            <v>2096</v>
          </cell>
        </row>
        <row r="659">
          <cell r="B659">
            <v>8</v>
          </cell>
          <cell r="D659">
            <v>13</v>
          </cell>
          <cell r="E659">
            <v>2134</v>
          </cell>
        </row>
        <row r="660">
          <cell r="B660">
            <v>17</v>
          </cell>
          <cell r="D660">
            <v>14</v>
          </cell>
          <cell r="E660">
            <v>2141</v>
          </cell>
        </row>
        <row r="661">
          <cell r="B661">
            <v>11</v>
          </cell>
          <cell r="D661">
            <v>10</v>
          </cell>
          <cell r="E661">
            <v>2145</v>
          </cell>
        </row>
        <row r="662">
          <cell r="B662">
            <v>3</v>
          </cell>
          <cell r="D662">
            <v>12</v>
          </cell>
          <cell r="E662">
            <v>2138</v>
          </cell>
        </row>
        <row r="663">
          <cell r="B663">
            <v>6</v>
          </cell>
          <cell r="D663">
            <v>12</v>
          </cell>
          <cell r="E663">
            <v>2132</v>
          </cell>
        </row>
        <row r="664">
          <cell r="B664">
            <v>11</v>
          </cell>
          <cell r="D664">
            <v>12</v>
          </cell>
          <cell r="E664">
            <v>2146</v>
          </cell>
        </row>
        <row r="665">
          <cell r="B665">
            <v>8</v>
          </cell>
          <cell r="D665">
            <v>12</v>
          </cell>
          <cell r="E665">
            <v>2148</v>
          </cell>
        </row>
        <row r="666">
          <cell r="B666">
            <v>8</v>
          </cell>
          <cell r="D666">
            <v>12</v>
          </cell>
          <cell r="E666">
            <v>2159</v>
          </cell>
        </row>
        <row r="667">
          <cell r="B667">
            <v>4</v>
          </cell>
          <cell r="D667">
            <v>12</v>
          </cell>
          <cell r="E667">
            <v>2163</v>
          </cell>
        </row>
        <row r="668">
          <cell r="B668">
            <v>20</v>
          </cell>
          <cell r="D668">
            <v>15</v>
          </cell>
          <cell r="E668">
            <v>2164</v>
          </cell>
        </row>
        <row r="669">
          <cell r="B669">
            <v>8</v>
          </cell>
          <cell r="D669">
            <v>13</v>
          </cell>
          <cell r="E669">
            <v>2180</v>
          </cell>
        </row>
        <row r="670">
          <cell r="B670">
            <v>5</v>
          </cell>
          <cell r="D670">
            <v>15</v>
          </cell>
          <cell r="E670">
            <v>2187</v>
          </cell>
        </row>
        <row r="671">
          <cell r="B671">
            <v>11</v>
          </cell>
          <cell r="D671">
            <v>4</v>
          </cell>
          <cell r="E671">
            <v>2189</v>
          </cell>
        </row>
        <row r="672">
          <cell r="B672">
            <v>8</v>
          </cell>
          <cell r="D672">
            <v>15</v>
          </cell>
          <cell r="E672">
            <v>2192</v>
          </cell>
        </row>
        <row r="673">
          <cell r="B673">
            <v>11</v>
          </cell>
          <cell r="D673">
            <v>13</v>
          </cell>
          <cell r="E673">
            <v>2192</v>
          </cell>
        </row>
        <row r="674">
          <cell r="B674">
            <v>8</v>
          </cell>
          <cell r="D674">
            <v>7</v>
          </cell>
          <cell r="E674">
            <v>2223</v>
          </cell>
        </row>
        <row r="675">
          <cell r="B675">
            <v>7</v>
          </cell>
          <cell r="D675">
            <v>16</v>
          </cell>
          <cell r="E675">
            <v>2235</v>
          </cell>
        </row>
        <row r="676">
          <cell r="B676">
            <v>8</v>
          </cell>
          <cell r="D676">
            <v>10</v>
          </cell>
          <cell r="E676">
            <v>2225</v>
          </cell>
        </row>
        <row r="677">
          <cell r="B677">
            <v>9</v>
          </cell>
          <cell r="D677">
            <v>15</v>
          </cell>
          <cell r="E677">
            <v>2233</v>
          </cell>
        </row>
        <row r="678">
          <cell r="B678">
            <v>9</v>
          </cell>
          <cell r="D678">
            <v>17</v>
          </cell>
          <cell r="E678">
            <v>2237</v>
          </cell>
        </row>
        <row r="679">
          <cell r="B679">
            <v>10</v>
          </cell>
          <cell r="D679">
            <v>6</v>
          </cell>
          <cell r="E679">
            <v>2243</v>
          </cell>
        </row>
        <row r="680">
          <cell r="B680">
            <v>13</v>
          </cell>
          <cell r="D680">
            <v>17</v>
          </cell>
          <cell r="E680">
            <v>2251</v>
          </cell>
        </row>
        <row r="681">
          <cell r="B681">
            <v>12</v>
          </cell>
          <cell r="D681">
            <v>13</v>
          </cell>
          <cell r="E681">
            <v>2261</v>
          </cell>
        </row>
        <row r="682">
          <cell r="B682">
            <v>4</v>
          </cell>
          <cell r="D682">
            <v>26</v>
          </cell>
          <cell r="E682">
            <v>2266</v>
          </cell>
        </row>
        <row r="683">
          <cell r="B683">
            <v>4</v>
          </cell>
          <cell r="D683">
            <v>12</v>
          </cell>
          <cell r="E683">
            <v>2276</v>
          </cell>
        </row>
        <row r="684">
          <cell r="B684">
            <v>2</v>
          </cell>
          <cell r="D684">
            <v>8</v>
          </cell>
          <cell r="E684">
            <v>2282</v>
          </cell>
        </row>
        <row r="685">
          <cell r="B685">
            <v>6</v>
          </cell>
          <cell r="D685">
            <v>11</v>
          </cell>
          <cell r="E685">
            <v>2286</v>
          </cell>
        </row>
        <row r="686">
          <cell r="B686">
            <v>6</v>
          </cell>
          <cell r="D686">
            <v>4</v>
          </cell>
          <cell r="E686">
            <v>2280</v>
          </cell>
        </row>
        <row r="687">
          <cell r="B687">
            <v>3</v>
          </cell>
          <cell r="D687">
            <v>14</v>
          </cell>
          <cell r="E687">
            <v>2287</v>
          </cell>
        </row>
        <row r="688">
          <cell r="B688">
            <v>5</v>
          </cell>
          <cell r="D688">
            <v>10</v>
          </cell>
          <cell r="E688">
            <v>2277</v>
          </cell>
        </row>
        <row r="689">
          <cell r="B689">
            <v>3</v>
          </cell>
          <cell r="D689">
            <v>5</v>
          </cell>
          <cell r="E689">
            <v>2269</v>
          </cell>
        </row>
        <row r="690">
          <cell r="B690">
            <v>6</v>
          </cell>
          <cell r="D690">
            <v>6</v>
          </cell>
          <cell r="E690">
            <v>2270</v>
          </cell>
        </row>
        <row r="691">
          <cell r="B691">
            <v>8</v>
          </cell>
          <cell r="D691">
            <v>8</v>
          </cell>
          <cell r="E691">
            <v>2272</v>
          </cell>
        </row>
        <row r="692">
          <cell r="B692">
            <v>6</v>
          </cell>
          <cell r="D692">
            <v>9</v>
          </cell>
          <cell r="E692">
            <v>2264</v>
          </cell>
        </row>
        <row r="693">
          <cell r="B693">
            <v>11</v>
          </cell>
          <cell r="D693">
            <v>5</v>
          </cell>
          <cell r="E693">
            <v>2294</v>
          </cell>
        </row>
        <row r="694">
          <cell r="B694">
            <v>11</v>
          </cell>
          <cell r="D694">
            <v>12</v>
          </cell>
          <cell r="E694">
            <v>2294</v>
          </cell>
        </row>
        <row r="695">
          <cell r="B695">
            <v>14</v>
          </cell>
          <cell r="D695">
            <v>20</v>
          </cell>
          <cell r="E695">
            <v>2302</v>
          </cell>
        </row>
        <row r="696">
          <cell r="B696">
            <v>6</v>
          </cell>
          <cell r="D696">
            <v>16</v>
          </cell>
          <cell r="E696">
            <v>2317</v>
          </cell>
        </row>
        <row r="697">
          <cell r="B697">
            <v>5</v>
          </cell>
          <cell r="D697">
            <v>3</v>
          </cell>
          <cell r="E697">
            <v>2340</v>
          </cell>
        </row>
        <row r="698">
          <cell r="B698">
            <v>1</v>
          </cell>
          <cell r="D698">
            <v>6</v>
          </cell>
          <cell r="E698">
            <v>2343</v>
          </cell>
        </row>
        <row r="699">
          <cell r="B699">
            <v>2</v>
          </cell>
          <cell r="D699">
            <v>8</v>
          </cell>
          <cell r="E699">
            <v>2345</v>
          </cell>
        </row>
        <row r="700">
          <cell r="B700">
            <v>7</v>
          </cell>
          <cell r="D700">
            <v>3</v>
          </cell>
          <cell r="E700">
            <v>2340</v>
          </cell>
        </row>
        <row r="701">
          <cell r="B701">
            <v>18</v>
          </cell>
          <cell r="D701">
            <v>8</v>
          </cell>
          <cell r="E701">
            <v>2340</v>
          </cell>
        </row>
        <row r="702">
          <cell r="B702">
            <v>3</v>
          </cell>
          <cell r="D702">
            <v>22</v>
          </cell>
          <cell r="E702">
            <v>2375</v>
          </cell>
        </row>
        <row r="703">
          <cell r="B703">
            <v>9</v>
          </cell>
          <cell r="D703">
            <v>9</v>
          </cell>
          <cell r="E703">
            <v>2371</v>
          </cell>
        </row>
        <row r="704">
          <cell r="B704">
            <v>6</v>
          </cell>
          <cell r="D704">
            <v>14</v>
          </cell>
          <cell r="E704">
            <v>2375</v>
          </cell>
        </row>
        <row r="705">
          <cell r="B705">
            <v>4</v>
          </cell>
          <cell r="D705">
            <v>8</v>
          </cell>
          <cell r="E705">
            <v>2389</v>
          </cell>
        </row>
        <row r="706">
          <cell r="B706">
            <v>4</v>
          </cell>
          <cell r="D706">
            <v>10</v>
          </cell>
          <cell r="E706">
            <v>2415</v>
          </cell>
        </row>
        <row r="707">
          <cell r="B707">
            <v>4</v>
          </cell>
          <cell r="D707">
            <v>4</v>
          </cell>
          <cell r="E707">
            <v>2410</v>
          </cell>
        </row>
        <row r="708">
          <cell r="B708">
            <v>7</v>
          </cell>
          <cell r="D708">
            <v>6</v>
          </cell>
          <cell r="E708">
            <v>2407</v>
          </cell>
        </row>
        <row r="709">
          <cell r="B709">
            <v>4</v>
          </cell>
          <cell r="D709">
            <v>8</v>
          </cell>
          <cell r="E709">
            <v>2419</v>
          </cell>
        </row>
        <row r="710">
          <cell r="B710">
            <v>16</v>
          </cell>
          <cell r="D710">
            <v>7</v>
          </cell>
          <cell r="E710">
            <v>2418</v>
          </cell>
        </row>
        <row r="711">
          <cell r="B711">
            <v>4</v>
          </cell>
          <cell r="D711">
            <v>13</v>
          </cell>
          <cell r="E711">
            <v>2429</v>
          </cell>
        </row>
        <row r="712">
          <cell r="B712">
            <v>9</v>
          </cell>
          <cell r="D712">
            <v>9</v>
          </cell>
          <cell r="E712">
            <v>2440</v>
          </cell>
        </row>
        <row r="713">
          <cell r="B713">
            <v>4</v>
          </cell>
          <cell r="D713">
            <v>7</v>
          </cell>
          <cell r="E713">
            <v>2443</v>
          </cell>
        </row>
        <row r="714">
          <cell r="B714">
            <v>10</v>
          </cell>
          <cell r="D714">
            <v>5</v>
          </cell>
          <cell r="E714">
            <v>2439</v>
          </cell>
        </row>
        <row r="715">
          <cell r="B715">
            <v>7</v>
          </cell>
          <cell r="D715">
            <v>9</v>
          </cell>
          <cell r="E715">
            <v>2437</v>
          </cell>
        </row>
        <row r="716">
          <cell r="B716">
            <v>8</v>
          </cell>
          <cell r="D716">
            <v>4</v>
          </cell>
          <cell r="E716">
            <v>2462</v>
          </cell>
        </row>
        <row r="717">
          <cell r="B717">
            <v>11</v>
          </cell>
          <cell r="D717">
            <v>9</v>
          </cell>
          <cell r="E717">
            <v>2470</v>
          </cell>
        </row>
        <row r="718">
          <cell r="B718">
            <v>8</v>
          </cell>
          <cell r="D718">
            <v>15</v>
          </cell>
          <cell r="E718">
            <v>2468</v>
          </cell>
        </row>
        <row r="719">
          <cell r="B719">
            <v>7</v>
          </cell>
          <cell r="D719">
            <v>11</v>
          </cell>
          <cell r="E719">
            <v>2481</v>
          </cell>
        </row>
        <row r="720">
          <cell r="B720">
            <v>11</v>
          </cell>
          <cell r="D720">
            <v>6</v>
          </cell>
          <cell r="E720">
            <v>2472</v>
          </cell>
        </row>
        <row r="721">
          <cell r="B721">
            <v>6</v>
          </cell>
          <cell r="D721">
            <v>11</v>
          </cell>
          <cell r="E721">
            <v>2484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HS_Unaccompanied_Alien_Childre"/>
      <sheetName val="Clean_Data"/>
      <sheetName val="HHS_Unaccompanies_Alien_Childre"/>
    </sheetNames>
    <sheetDataSet>
      <sheetData sheetId="0">
        <row r="2">
          <cell r="C2">
            <v>53</v>
          </cell>
          <cell r="F2">
            <v>436</v>
          </cell>
        </row>
        <row r="3">
          <cell r="C3">
            <v>49</v>
          </cell>
          <cell r="F3">
            <v>227</v>
          </cell>
        </row>
        <row r="4">
          <cell r="C4">
            <v>50</v>
          </cell>
          <cell r="F4">
            <v>181</v>
          </cell>
        </row>
        <row r="5">
          <cell r="C5">
            <v>42</v>
          </cell>
          <cell r="F5">
            <v>175</v>
          </cell>
        </row>
        <row r="6">
          <cell r="C6">
            <v>22</v>
          </cell>
          <cell r="F6">
            <v>180</v>
          </cell>
        </row>
        <row r="7">
          <cell r="C7">
            <v>45</v>
          </cell>
          <cell r="F7">
            <v>303</v>
          </cell>
        </row>
        <row r="8">
          <cell r="C8">
            <v>54</v>
          </cell>
          <cell r="F8">
            <v>196</v>
          </cell>
        </row>
        <row r="9">
          <cell r="C9">
            <v>36</v>
          </cell>
          <cell r="F9">
            <v>158</v>
          </cell>
        </row>
        <row r="10">
          <cell r="C10">
            <v>32</v>
          </cell>
          <cell r="F10">
            <v>231</v>
          </cell>
        </row>
        <row r="11">
          <cell r="C11">
            <v>13</v>
          </cell>
          <cell r="F11">
            <v>298</v>
          </cell>
        </row>
        <row r="12">
          <cell r="C12">
            <v>18</v>
          </cell>
          <cell r="F12">
            <v>342</v>
          </cell>
        </row>
        <row r="13">
          <cell r="C13">
            <v>22</v>
          </cell>
          <cell r="F13">
            <v>196</v>
          </cell>
        </row>
        <row r="14">
          <cell r="C14">
            <v>20</v>
          </cell>
          <cell r="F14">
            <v>200</v>
          </cell>
        </row>
        <row r="15">
          <cell r="C15">
            <v>196</v>
          </cell>
          <cell r="F15">
            <v>317</v>
          </cell>
        </row>
        <row r="16">
          <cell r="C16">
            <v>234</v>
          </cell>
          <cell r="F16">
            <v>353</v>
          </cell>
        </row>
        <row r="17">
          <cell r="C17">
            <v>203</v>
          </cell>
          <cell r="F17">
            <v>317</v>
          </cell>
        </row>
        <row r="18">
          <cell r="C18">
            <v>259</v>
          </cell>
          <cell r="F18">
            <v>244</v>
          </cell>
        </row>
        <row r="19">
          <cell r="C19">
            <v>225</v>
          </cell>
          <cell r="F19">
            <v>223</v>
          </cell>
        </row>
        <row r="20">
          <cell r="C20">
            <v>199</v>
          </cell>
          <cell r="F20">
            <v>290</v>
          </cell>
        </row>
        <row r="21">
          <cell r="C21">
            <v>213</v>
          </cell>
          <cell r="F21">
            <v>361</v>
          </cell>
        </row>
        <row r="22">
          <cell r="C22">
            <v>285</v>
          </cell>
          <cell r="F22">
            <v>209</v>
          </cell>
        </row>
        <row r="23">
          <cell r="C23">
            <v>314</v>
          </cell>
          <cell r="F23">
            <v>213</v>
          </cell>
        </row>
        <row r="24">
          <cell r="C24">
            <v>215</v>
          </cell>
          <cell r="F24">
            <v>232</v>
          </cell>
        </row>
        <row r="25">
          <cell r="C25">
            <v>162</v>
          </cell>
          <cell r="F25">
            <v>386</v>
          </cell>
        </row>
        <row r="26">
          <cell r="C26">
            <v>190</v>
          </cell>
          <cell r="F26">
            <v>323</v>
          </cell>
        </row>
        <row r="27">
          <cell r="C27">
            <v>239</v>
          </cell>
          <cell r="F27">
            <v>248</v>
          </cell>
        </row>
        <row r="28">
          <cell r="C28">
            <v>216</v>
          </cell>
          <cell r="F28">
            <v>200</v>
          </cell>
        </row>
        <row r="29">
          <cell r="C29">
            <v>158</v>
          </cell>
          <cell r="F29">
            <v>307</v>
          </cell>
        </row>
        <row r="30">
          <cell r="C30">
            <v>227</v>
          </cell>
          <cell r="F30">
            <v>335</v>
          </cell>
        </row>
        <row r="31">
          <cell r="C31">
            <v>214</v>
          </cell>
          <cell r="F31">
            <v>259</v>
          </cell>
        </row>
        <row r="32">
          <cell r="C32">
            <v>208</v>
          </cell>
          <cell r="F32">
            <v>291</v>
          </cell>
        </row>
        <row r="33">
          <cell r="C33">
            <v>285</v>
          </cell>
          <cell r="F33">
            <v>340</v>
          </cell>
        </row>
        <row r="34">
          <cell r="C34">
            <v>230</v>
          </cell>
          <cell r="F34">
            <v>249</v>
          </cell>
        </row>
        <row r="35">
          <cell r="C35">
            <v>276</v>
          </cell>
          <cell r="F35">
            <v>181</v>
          </cell>
        </row>
        <row r="36">
          <cell r="C36">
            <v>220</v>
          </cell>
          <cell r="F36">
            <v>286</v>
          </cell>
        </row>
        <row r="37">
          <cell r="C37">
            <v>280</v>
          </cell>
          <cell r="F37">
            <v>308</v>
          </cell>
        </row>
        <row r="38">
          <cell r="C38">
            <v>294</v>
          </cell>
          <cell r="F38">
            <v>306</v>
          </cell>
        </row>
        <row r="39">
          <cell r="C39">
            <v>313</v>
          </cell>
          <cell r="F39">
            <v>279</v>
          </cell>
        </row>
        <row r="40">
          <cell r="C40">
            <v>272</v>
          </cell>
          <cell r="F40">
            <v>221</v>
          </cell>
        </row>
        <row r="41">
          <cell r="C41">
            <v>277</v>
          </cell>
          <cell r="F41">
            <v>246</v>
          </cell>
        </row>
        <row r="42">
          <cell r="C42">
            <v>276</v>
          </cell>
          <cell r="F42">
            <v>331</v>
          </cell>
        </row>
        <row r="43">
          <cell r="C43">
            <v>246</v>
          </cell>
          <cell r="F43">
            <v>352</v>
          </cell>
        </row>
        <row r="44">
          <cell r="C44">
            <v>171</v>
          </cell>
          <cell r="F44">
            <v>235</v>
          </cell>
        </row>
        <row r="45">
          <cell r="C45">
            <v>209</v>
          </cell>
          <cell r="F45">
            <v>223</v>
          </cell>
        </row>
        <row r="46">
          <cell r="C46">
            <v>245</v>
          </cell>
          <cell r="F46">
            <v>267</v>
          </cell>
        </row>
        <row r="47">
          <cell r="C47">
            <v>256</v>
          </cell>
          <cell r="F47">
            <v>359</v>
          </cell>
        </row>
        <row r="48">
          <cell r="C48">
            <v>232</v>
          </cell>
          <cell r="F48">
            <v>304</v>
          </cell>
        </row>
        <row r="49">
          <cell r="C49">
            <v>139</v>
          </cell>
          <cell r="F49">
            <v>284</v>
          </cell>
        </row>
        <row r="50">
          <cell r="C50">
            <v>235</v>
          </cell>
          <cell r="F50">
            <v>259</v>
          </cell>
        </row>
        <row r="51">
          <cell r="C51">
            <v>245</v>
          </cell>
          <cell r="F51">
            <v>260</v>
          </cell>
        </row>
        <row r="52">
          <cell r="C52">
            <v>219</v>
          </cell>
          <cell r="F52">
            <v>284</v>
          </cell>
        </row>
        <row r="53">
          <cell r="C53">
            <v>210</v>
          </cell>
          <cell r="F53">
            <v>329</v>
          </cell>
        </row>
        <row r="54">
          <cell r="C54">
            <v>203</v>
          </cell>
          <cell r="F54">
            <v>265</v>
          </cell>
        </row>
        <row r="55">
          <cell r="C55">
            <v>209</v>
          </cell>
          <cell r="F55">
            <v>187</v>
          </cell>
        </row>
        <row r="56">
          <cell r="C56">
            <v>212</v>
          </cell>
          <cell r="F56">
            <v>283</v>
          </cell>
        </row>
        <row r="57">
          <cell r="C57">
            <v>214</v>
          </cell>
          <cell r="F57">
            <v>370</v>
          </cell>
        </row>
        <row r="58">
          <cell r="C58">
            <v>283</v>
          </cell>
          <cell r="F58">
            <v>272</v>
          </cell>
        </row>
        <row r="59">
          <cell r="C59">
            <v>297</v>
          </cell>
          <cell r="F59">
            <v>248</v>
          </cell>
        </row>
        <row r="60">
          <cell r="C60">
            <v>272</v>
          </cell>
          <cell r="F60">
            <v>234</v>
          </cell>
        </row>
        <row r="61">
          <cell r="C61">
            <v>367</v>
          </cell>
          <cell r="F61">
            <v>229</v>
          </cell>
        </row>
        <row r="62">
          <cell r="C62">
            <v>280</v>
          </cell>
          <cell r="F62">
            <v>320</v>
          </cell>
        </row>
        <row r="63">
          <cell r="C63">
            <v>306</v>
          </cell>
          <cell r="F63">
            <v>266</v>
          </cell>
        </row>
        <row r="64">
          <cell r="C64">
            <v>330</v>
          </cell>
          <cell r="F64">
            <v>213</v>
          </cell>
        </row>
        <row r="65">
          <cell r="C65">
            <v>230</v>
          </cell>
          <cell r="F65">
            <v>202</v>
          </cell>
        </row>
        <row r="66">
          <cell r="C66">
            <v>245</v>
          </cell>
          <cell r="F66">
            <v>256</v>
          </cell>
        </row>
        <row r="67">
          <cell r="C67">
            <v>283</v>
          </cell>
          <cell r="F67">
            <v>310</v>
          </cell>
        </row>
        <row r="68">
          <cell r="C68">
            <v>243</v>
          </cell>
          <cell r="F68">
            <v>293</v>
          </cell>
        </row>
        <row r="69">
          <cell r="C69">
            <v>315</v>
          </cell>
          <cell r="F69">
            <v>237</v>
          </cell>
        </row>
        <row r="70">
          <cell r="C70">
            <v>326</v>
          </cell>
          <cell r="F70">
            <v>245</v>
          </cell>
        </row>
        <row r="71">
          <cell r="C71">
            <v>353</v>
          </cell>
          <cell r="F71">
            <v>267</v>
          </cell>
        </row>
        <row r="72">
          <cell r="C72">
            <v>253</v>
          </cell>
          <cell r="F72">
            <v>332</v>
          </cell>
        </row>
        <row r="73">
          <cell r="C73">
            <v>337</v>
          </cell>
          <cell r="F73">
            <v>375</v>
          </cell>
        </row>
        <row r="74">
          <cell r="C74">
            <v>287</v>
          </cell>
          <cell r="F74">
            <v>261</v>
          </cell>
        </row>
        <row r="75">
          <cell r="C75">
            <v>310</v>
          </cell>
          <cell r="F75">
            <v>250</v>
          </cell>
        </row>
        <row r="76">
          <cell r="C76">
            <v>285</v>
          </cell>
          <cell r="F76">
            <v>304</v>
          </cell>
        </row>
        <row r="77">
          <cell r="C77">
            <v>412</v>
          </cell>
          <cell r="F77">
            <v>392</v>
          </cell>
        </row>
        <row r="78">
          <cell r="C78">
            <v>255</v>
          </cell>
          <cell r="F78">
            <v>288</v>
          </cell>
        </row>
        <row r="79">
          <cell r="C79">
            <v>294</v>
          </cell>
          <cell r="F79">
            <v>277</v>
          </cell>
        </row>
        <row r="80">
          <cell r="C80">
            <v>304</v>
          </cell>
          <cell r="F80">
            <v>272</v>
          </cell>
        </row>
        <row r="81">
          <cell r="C81">
            <v>162</v>
          </cell>
          <cell r="F81">
            <v>307</v>
          </cell>
        </row>
        <row r="82">
          <cell r="C82">
            <v>122</v>
          </cell>
          <cell r="F82">
            <v>351</v>
          </cell>
        </row>
        <row r="83">
          <cell r="C83">
            <v>170</v>
          </cell>
          <cell r="F83">
            <v>343</v>
          </cell>
        </row>
        <row r="84">
          <cell r="C84">
            <v>156</v>
          </cell>
          <cell r="F84">
            <v>240</v>
          </cell>
        </row>
        <row r="85">
          <cell r="C85">
            <v>66</v>
          </cell>
          <cell r="F85">
            <v>246</v>
          </cell>
        </row>
        <row r="86">
          <cell r="C86">
            <v>70</v>
          </cell>
          <cell r="F86">
            <v>276</v>
          </cell>
        </row>
        <row r="87">
          <cell r="C87">
            <v>73</v>
          </cell>
          <cell r="F87">
            <v>408</v>
          </cell>
        </row>
        <row r="88">
          <cell r="C88">
            <v>60</v>
          </cell>
          <cell r="F88">
            <v>207</v>
          </cell>
        </row>
        <row r="89">
          <cell r="C89">
            <v>83</v>
          </cell>
          <cell r="F89">
            <v>168</v>
          </cell>
        </row>
        <row r="90">
          <cell r="C90">
            <v>80</v>
          </cell>
          <cell r="F90">
            <v>210</v>
          </cell>
        </row>
        <row r="91">
          <cell r="C91">
            <v>82</v>
          </cell>
          <cell r="F91">
            <v>287</v>
          </cell>
        </row>
        <row r="92">
          <cell r="C92">
            <v>103</v>
          </cell>
          <cell r="F92">
            <v>292</v>
          </cell>
        </row>
        <row r="93">
          <cell r="C93">
            <v>107</v>
          </cell>
          <cell r="F93">
            <v>189</v>
          </cell>
        </row>
        <row r="94">
          <cell r="C94">
            <v>124</v>
          </cell>
          <cell r="F94">
            <v>187</v>
          </cell>
        </row>
        <row r="95">
          <cell r="C95">
            <v>162</v>
          </cell>
          <cell r="F95">
            <v>208</v>
          </cell>
        </row>
        <row r="96">
          <cell r="C96">
            <v>196</v>
          </cell>
          <cell r="F96">
            <v>255</v>
          </cell>
        </row>
        <row r="97">
          <cell r="C97">
            <v>152</v>
          </cell>
          <cell r="F97">
            <v>238</v>
          </cell>
        </row>
        <row r="98">
          <cell r="C98">
            <v>118</v>
          </cell>
          <cell r="F98">
            <v>177</v>
          </cell>
        </row>
        <row r="99">
          <cell r="C99">
            <v>64</v>
          </cell>
          <cell r="F99">
            <v>146</v>
          </cell>
        </row>
        <row r="100">
          <cell r="C100">
            <v>97</v>
          </cell>
          <cell r="F100">
            <v>167</v>
          </cell>
        </row>
        <row r="101">
          <cell r="C101">
            <v>75</v>
          </cell>
          <cell r="F101">
            <v>272</v>
          </cell>
        </row>
        <row r="102">
          <cell r="C102">
            <v>51</v>
          </cell>
          <cell r="F102">
            <v>142</v>
          </cell>
        </row>
        <row r="103">
          <cell r="C103">
            <v>53</v>
          </cell>
          <cell r="F103">
            <v>134</v>
          </cell>
        </row>
        <row r="104">
          <cell r="C104">
            <v>196</v>
          </cell>
          <cell r="F104">
            <v>149</v>
          </cell>
        </row>
        <row r="105">
          <cell r="C105">
            <v>234</v>
          </cell>
          <cell r="F105">
            <v>207</v>
          </cell>
        </row>
        <row r="106">
          <cell r="C106">
            <v>203</v>
          </cell>
          <cell r="F106">
            <v>263</v>
          </cell>
        </row>
        <row r="107">
          <cell r="C107">
            <v>259</v>
          </cell>
          <cell r="F107">
            <v>174</v>
          </cell>
        </row>
        <row r="108">
          <cell r="C108">
            <v>225</v>
          </cell>
          <cell r="F108">
            <v>155</v>
          </cell>
        </row>
        <row r="109">
          <cell r="C109">
            <v>199</v>
          </cell>
          <cell r="F109">
            <v>174</v>
          </cell>
        </row>
        <row r="110">
          <cell r="C110">
            <v>213</v>
          </cell>
          <cell r="F110">
            <v>213</v>
          </cell>
        </row>
        <row r="111">
          <cell r="C111">
            <v>285</v>
          </cell>
          <cell r="F111">
            <v>309</v>
          </cell>
        </row>
        <row r="112">
          <cell r="C112">
            <v>314</v>
          </cell>
          <cell r="F112">
            <v>124</v>
          </cell>
        </row>
        <row r="113">
          <cell r="C113">
            <v>215</v>
          </cell>
          <cell r="F113">
            <v>167</v>
          </cell>
        </row>
        <row r="114">
          <cell r="C114">
            <v>162</v>
          </cell>
          <cell r="F114">
            <v>205</v>
          </cell>
        </row>
        <row r="115">
          <cell r="C115">
            <v>190</v>
          </cell>
          <cell r="F115">
            <v>196</v>
          </cell>
        </row>
        <row r="116">
          <cell r="C116">
            <v>239</v>
          </cell>
          <cell r="F116">
            <v>163</v>
          </cell>
        </row>
        <row r="117">
          <cell r="C117">
            <v>216</v>
          </cell>
          <cell r="F117">
            <v>143</v>
          </cell>
        </row>
        <row r="118">
          <cell r="C118">
            <v>158</v>
          </cell>
          <cell r="F118">
            <v>210</v>
          </cell>
        </row>
        <row r="119">
          <cell r="C119">
            <v>227</v>
          </cell>
          <cell r="F119">
            <v>226</v>
          </cell>
        </row>
        <row r="120">
          <cell r="C120">
            <v>214</v>
          </cell>
          <cell r="F120">
            <v>218</v>
          </cell>
        </row>
        <row r="121">
          <cell r="C121">
            <v>208</v>
          </cell>
          <cell r="F121">
            <v>160</v>
          </cell>
        </row>
        <row r="122">
          <cell r="C122">
            <v>285</v>
          </cell>
          <cell r="F122">
            <v>181</v>
          </cell>
        </row>
        <row r="123">
          <cell r="C123">
            <v>230</v>
          </cell>
          <cell r="F123">
            <v>226</v>
          </cell>
        </row>
        <row r="124">
          <cell r="C124">
            <v>276</v>
          </cell>
          <cell r="F124">
            <v>281</v>
          </cell>
        </row>
        <row r="125">
          <cell r="C125">
            <v>220</v>
          </cell>
          <cell r="F125">
            <v>276</v>
          </cell>
        </row>
        <row r="126">
          <cell r="C126">
            <v>280</v>
          </cell>
          <cell r="F126">
            <v>187</v>
          </cell>
        </row>
        <row r="127">
          <cell r="C127">
            <v>294</v>
          </cell>
          <cell r="F127">
            <v>136</v>
          </cell>
        </row>
        <row r="128">
          <cell r="C128">
            <v>313</v>
          </cell>
          <cell r="F128">
            <v>215</v>
          </cell>
        </row>
        <row r="129">
          <cell r="C129">
            <v>272</v>
          </cell>
          <cell r="F129">
            <v>259</v>
          </cell>
        </row>
        <row r="130">
          <cell r="C130">
            <v>277</v>
          </cell>
          <cell r="F130">
            <v>305</v>
          </cell>
        </row>
        <row r="131">
          <cell r="C131">
            <v>276</v>
          </cell>
          <cell r="F131">
            <v>220</v>
          </cell>
        </row>
        <row r="132">
          <cell r="C132">
            <v>246</v>
          </cell>
          <cell r="F132">
            <v>168</v>
          </cell>
        </row>
        <row r="133">
          <cell r="C133">
            <v>171</v>
          </cell>
          <cell r="F133">
            <v>271</v>
          </cell>
        </row>
        <row r="134">
          <cell r="C134">
            <v>209</v>
          </cell>
          <cell r="F134">
            <v>339</v>
          </cell>
        </row>
        <row r="135">
          <cell r="C135">
            <v>245</v>
          </cell>
          <cell r="F135">
            <v>322</v>
          </cell>
        </row>
        <row r="136">
          <cell r="C136">
            <v>256</v>
          </cell>
          <cell r="F136">
            <v>202</v>
          </cell>
        </row>
        <row r="137">
          <cell r="C137">
            <v>232</v>
          </cell>
          <cell r="F137">
            <v>207</v>
          </cell>
        </row>
        <row r="138">
          <cell r="C138">
            <v>139</v>
          </cell>
          <cell r="F138">
            <v>251</v>
          </cell>
        </row>
        <row r="139">
          <cell r="C139">
            <v>235</v>
          </cell>
          <cell r="F139">
            <v>353</v>
          </cell>
        </row>
        <row r="140">
          <cell r="C140">
            <v>245</v>
          </cell>
          <cell r="F140">
            <v>288</v>
          </cell>
        </row>
        <row r="141">
          <cell r="C141">
            <v>219</v>
          </cell>
          <cell r="F141">
            <v>407</v>
          </cell>
        </row>
        <row r="142">
          <cell r="C142">
            <v>210</v>
          </cell>
          <cell r="F142">
            <v>390</v>
          </cell>
        </row>
        <row r="143">
          <cell r="C143">
            <v>203</v>
          </cell>
          <cell r="F143">
            <v>281</v>
          </cell>
        </row>
        <row r="144">
          <cell r="C144">
            <v>209</v>
          </cell>
          <cell r="F144">
            <v>230</v>
          </cell>
        </row>
        <row r="145">
          <cell r="C145">
            <v>212</v>
          </cell>
          <cell r="F145">
            <v>285</v>
          </cell>
        </row>
        <row r="146">
          <cell r="C146">
            <v>214</v>
          </cell>
          <cell r="F146">
            <v>443</v>
          </cell>
        </row>
        <row r="147">
          <cell r="C147">
            <v>283</v>
          </cell>
          <cell r="F147">
            <v>488</v>
          </cell>
        </row>
        <row r="148">
          <cell r="C148">
            <v>297</v>
          </cell>
          <cell r="F148">
            <v>388</v>
          </cell>
        </row>
        <row r="149">
          <cell r="C149">
            <v>272</v>
          </cell>
          <cell r="F149">
            <v>286</v>
          </cell>
        </row>
        <row r="150">
          <cell r="C150">
            <v>367</v>
          </cell>
          <cell r="F150">
            <v>366</v>
          </cell>
        </row>
        <row r="151">
          <cell r="C151">
            <v>280</v>
          </cell>
          <cell r="F151">
            <v>505</v>
          </cell>
        </row>
        <row r="152">
          <cell r="C152">
            <v>306</v>
          </cell>
          <cell r="F152">
            <v>293</v>
          </cell>
        </row>
        <row r="153">
          <cell r="C153">
            <v>330</v>
          </cell>
          <cell r="F153">
            <v>243</v>
          </cell>
        </row>
        <row r="154">
          <cell r="C154">
            <v>230</v>
          </cell>
          <cell r="F154">
            <v>291</v>
          </cell>
        </row>
        <row r="155">
          <cell r="C155">
            <v>245</v>
          </cell>
          <cell r="F155">
            <v>398</v>
          </cell>
        </row>
        <row r="156">
          <cell r="C156">
            <v>283</v>
          </cell>
          <cell r="F156">
            <v>382</v>
          </cell>
        </row>
        <row r="157">
          <cell r="C157">
            <v>243</v>
          </cell>
          <cell r="F157">
            <v>277</v>
          </cell>
        </row>
        <row r="158">
          <cell r="C158">
            <v>315</v>
          </cell>
          <cell r="F158">
            <v>316</v>
          </cell>
        </row>
        <row r="159">
          <cell r="C159">
            <v>326</v>
          </cell>
          <cell r="F159">
            <v>343</v>
          </cell>
        </row>
        <row r="160">
          <cell r="C160">
            <v>353</v>
          </cell>
          <cell r="F160">
            <v>414</v>
          </cell>
        </row>
        <row r="161">
          <cell r="C161">
            <v>253</v>
          </cell>
          <cell r="F161">
            <v>427</v>
          </cell>
        </row>
        <row r="162">
          <cell r="C162">
            <v>337</v>
          </cell>
          <cell r="F162">
            <v>313</v>
          </cell>
        </row>
        <row r="163">
          <cell r="C163">
            <v>287</v>
          </cell>
          <cell r="F163">
            <v>260</v>
          </cell>
        </row>
        <row r="164">
          <cell r="C164">
            <v>310</v>
          </cell>
          <cell r="F164">
            <v>364</v>
          </cell>
        </row>
        <row r="165">
          <cell r="C165">
            <v>285</v>
          </cell>
          <cell r="F165">
            <v>428</v>
          </cell>
        </row>
        <row r="166">
          <cell r="C166">
            <v>412</v>
          </cell>
          <cell r="F166">
            <v>403</v>
          </cell>
        </row>
        <row r="167">
          <cell r="C167">
            <v>255</v>
          </cell>
          <cell r="F167">
            <v>284</v>
          </cell>
        </row>
        <row r="168">
          <cell r="C168">
            <v>294</v>
          </cell>
          <cell r="F168">
            <v>332</v>
          </cell>
        </row>
        <row r="169">
          <cell r="C169">
            <v>304</v>
          </cell>
          <cell r="F169">
            <v>331</v>
          </cell>
        </row>
        <row r="170">
          <cell r="C170">
            <v>162</v>
          </cell>
          <cell r="F170">
            <v>447</v>
          </cell>
        </row>
        <row r="171">
          <cell r="C171">
            <v>122</v>
          </cell>
          <cell r="F171">
            <v>493</v>
          </cell>
        </row>
        <row r="172">
          <cell r="C172">
            <v>170</v>
          </cell>
          <cell r="F172">
            <v>284</v>
          </cell>
        </row>
        <row r="173">
          <cell r="C173">
            <v>156</v>
          </cell>
          <cell r="F173">
            <v>287</v>
          </cell>
        </row>
        <row r="174">
          <cell r="C174">
            <v>66</v>
          </cell>
          <cell r="F174">
            <v>330</v>
          </cell>
        </row>
        <row r="175">
          <cell r="C175">
            <v>70</v>
          </cell>
          <cell r="F175">
            <v>427</v>
          </cell>
        </row>
        <row r="176">
          <cell r="C176">
            <v>73</v>
          </cell>
          <cell r="F176">
            <v>282</v>
          </cell>
        </row>
        <row r="177">
          <cell r="C177">
            <v>60</v>
          </cell>
          <cell r="F177">
            <v>257</v>
          </cell>
        </row>
        <row r="178">
          <cell r="C178">
            <v>83</v>
          </cell>
          <cell r="F178">
            <v>266</v>
          </cell>
        </row>
        <row r="179">
          <cell r="C179">
            <v>80</v>
          </cell>
          <cell r="F179">
            <v>398</v>
          </cell>
        </row>
        <row r="180">
          <cell r="C180">
            <v>82</v>
          </cell>
          <cell r="F180">
            <v>434</v>
          </cell>
        </row>
        <row r="181">
          <cell r="C181">
            <v>103</v>
          </cell>
          <cell r="F181">
            <v>331</v>
          </cell>
        </row>
        <row r="182">
          <cell r="C182">
            <v>107</v>
          </cell>
          <cell r="F182">
            <v>315</v>
          </cell>
        </row>
        <row r="183">
          <cell r="C183">
            <v>124</v>
          </cell>
          <cell r="F183">
            <v>393</v>
          </cell>
        </row>
        <row r="184">
          <cell r="C184">
            <v>162</v>
          </cell>
          <cell r="F184">
            <v>406</v>
          </cell>
        </row>
        <row r="185">
          <cell r="C185">
            <v>196</v>
          </cell>
          <cell r="F185">
            <v>454</v>
          </cell>
        </row>
        <row r="186">
          <cell r="C186">
            <v>152</v>
          </cell>
          <cell r="F186">
            <v>327</v>
          </cell>
        </row>
        <row r="187">
          <cell r="C187">
            <v>118</v>
          </cell>
          <cell r="F187">
            <v>300</v>
          </cell>
        </row>
        <row r="188">
          <cell r="C188">
            <v>64</v>
          </cell>
          <cell r="F188">
            <v>293</v>
          </cell>
        </row>
        <row r="189">
          <cell r="C189">
            <v>97</v>
          </cell>
          <cell r="F189">
            <v>390</v>
          </cell>
        </row>
        <row r="190">
          <cell r="C190">
            <v>75</v>
          </cell>
          <cell r="F190">
            <v>418</v>
          </cell>
        </row>
        <row r="191">
          <cell r="C191">
            <v>51</v>
          </cell>
          <cell r="F191">
            <v>278</v>
          </cell>
        </row>
        <row r="192">
          <cell r="C192">
            <v>53</v>
          </cell>
          <cell r="F192">
            <v>295</v>
          </cell>
        </row>
        <row r="193">
          <cell r="C193">
            <v>235</v>
          </cell>
          <cell r="F193">
            <v>279</v>
          </cell>
        </row>
        <row r="194">
          <cell r="C194">
            <v>208</v>
          </cell>
          <cell r="F194">
            <v>330</v>
          </cell>
        </row>
        <row r="195">
          <cell r="C195">
            <v>230</v>
          </cell>
          <cell r="F195">
            <v>370</v>
          </cell>
        </row>
        <row r="196">
          <cell r="C196">
            <v>233</v>
          </cell>
          <cell r="F196">
            <v>316</v>
          </cell>
        </row>
        <row r="197">
          <cell r="C197">
            <v>232</v>
          </cell>
          <cell r="F197">
            <v>231</v>
          </cell>
        </row>
        <row r="198">
          <cell r="C198">
            <v>226</v>
          </cell>
          <cell r="F198">
            <v>310</v>
          </cell>
        </row>
        <row r="199">
          <cell r="C199">
            <v>160</v>
          </cell>
          <cell r="F199">
            <v>313</v>
          </cell>
        </row>
        <row r="200">
          <cell r="C200">
            <v>173</v>
          </cell>
          <cell r="F200">
            <v>287</v>
          </cell>
        </row>
        <row r="201">
          <cell r="C201">
            <v>181</v>
          </cell>
          <cell r="F201">
            <v>247</v>
          </cell>
        </row>
        <row r="202">
          <cell r="C202">
            <v>157</v>
          </cell>
          <cell r="F202">
            <v>316</v>
          </cell>
        </row>
        <row r="203">
          <cell r="C203">
            <v>176</v>
          </cell>
          <cell r="F203">
            <v>374</v>
          </cell>
        </row>
        <row r="204">
          <cell r="C204">
            <v>188</v>
          </cell>
          <cell r="F204">
            <v>435</v>
          </cell>
        </row>
        <row r="205">
          <cell r="C205">
            <v>185</v>
          </cell>
          <cell r="F205">
            <v>298</v>
          </cell>
        </row>
        <row r="206">
          <cell r="C206">
            <v>246</v>
          </cell>
          <cell r="F206">
            <v>250</v>
          </cell>
        </row>
        <row r="207">
          <cell r="C207">
            <v>228</v>
          </cell>
          <cell r="F207">
            <v>283</v>
          </cell>
        </row>
        <row r="208">
          <cell r="C208">
            <v>196</v>
          </cell>
          <cell r="F208">
            <v>312</v>
          </cell>
        </row>
        <row r="209">
          <cell r="C209">
            <v>82</v>
          </cell>
          <cell r="F209">
            <v>214</v>
          </cell>
        </row>
        <row r="210">
          <cell r="C210">
            <v>103</v>
          </cell>
          <cell r="F210">
            <v>223</v>
          </cell>
        </row>
        <row r="211">
          <cell r="C211">
            <v>107</v>
          </cell>
          <cell r="F211">
            <v>284</v>
          </cell>
        </row>
        <row r="212">
          <cell r="C212">
            <v>124</v>
          </cell>
          <cell r="F212">
            <v>320</v>
          </cell>
        </row>
        <row r="213">
          <cell r="C213">
            <v>235</v>
          </cell>
          <cell r="F213">
            <v>417</v>
          </cell>
        </row>
        <row r="214">
          <cell r="C214">
            <v>208</v>
          </cell>
          <cell r="F214">
            <v>273</v>
          </cell>
        </row>
        <row r="215">
          <cell r="C215">
            <v>230</v>
          </cell>
          <cell r="F215">
            <v>261</v>
          </cell>
        </row>
        <row r="216">
          <cell r="C216">
            <v>233</v>
          </cell>
          <cell r="F216">
            <v>376</v>
          </cell>
        </row>
        <row r="217">
          <cell r="C217">
            <v>232</v>
          </cell>
          <cell r="F217">
            <v>466</v>
          </cell>
        </row>
        <row r="218">
          <cell r="C218">
            <v>226</v>
          </cell>
          <cell r="F218">
            <v>411</v>
          </cell>
        </row>
        <row r="219">
          <cell r="C219">
            <v>160</v>
          </cell>
          <cell r="F219">
            <v>304</v>
          </cell>
        </row>
        <row r="220">
          <cell r="C220">
            <v>173</v>
          </cell>
          <cell r="F220">
            <v>259</v>
          </cell>
        </row>
        <row r="221">
          <cell r="C221">
            <v>181</v>
          </cell>
          <cell r="F221">
            <v>335</v>
          </cell>
        </row>
        <row r="222">
          <cell r="C222">
            <v>157</v>
          </cell>
          <cell r="F222">
            <v>396</v>
          </cell>
        </row>
        <row r="223">
          <cell r="C223">
            <v>176</v>
          </cell>
          <cell r="F223">
            <v>456</v>
          </cell>
        </row>
        <row r="224">
          <cell r="C224">
            <v>188</v>
          </cell>
          <cell r="F224">
            <v>364</v>
          </cell>
        </row>
        <row r="225">
          <cell r="C225">
            <v>185</v>
          </cell>
          <cell r="F225">
            <v>272</v>
          </cell>
        </row>
        <row r="226">
          <cell r="C226">
            <v>246</v>
          </cell>
          <cell r="F226">
            <v>390</v>
          </cell>
        </row>
        <row r="227">
          <cell r="C227">
            <v>228</v>
          </cell>
          <cell r="F227">
            <v>497</v>
          </cell>
        </row>
        <row r="228">
          <cell r="C228">
            <v>196</v>
          </cell>
          <cell r="F228">
            <v>347</v>
          </cell>
        </row>
        <row r="229">
          <cell r="C229">
            <v>82</v>
          </cell>
          <cell r="F229">
            <v>288</v>
          </cell>
        </row>
        <row r="230">
          <cell r="C230">
            <v>103</v>
          </cell>
          <cell r="F230">
            <v>335</v>
          </cell>
        </row>
        <row r="231">
          <cell r="C231">
            <v>107</v>
          </cell>
          <cell r="F231">
            <v>357</v>
          </cell>
        </row>
        <row r="232">
          <cell r="C232">
            <v>124</v>
          </cell>
          <cell r="F232">
            <v>290</v>
          </cell>
        </row>
        <row r="233">
          <cell r="C233">
            <v>162</v>
          </cell>
          <cell r="F233">
            <v>316</v>
          </cell>
        </row>
        <row r="234">
          <cell r="C234">
            <v>196</v>
          </cell>
          <cell r="F234">
            <v>263</v>
          </cell>
        </row>
        <row r="235">
          <cell r="C235">
            <v>152</v>
          </cell>
          <cell r="F235">
            <v>362</v>
          </cell>
        </row>
        <row r="236">
          <cell r="C236">
            <v>118</v>
          </cell>
          <cell r="F236">
            <v>367</v>
          </cell>
        </row>
        <row r="237">
          <cell r="C237">
            <v>64</v>
          </cell>
          <cell r="F237">
            <v>367</v>
          </cell>
        </row>
        <row r="238">
          <cell r="C238">
            <v>97</v>
          </cell>
          <cell r="F238">
            <v>286</v>
          </cell>
        </row>
        <row r="239">
          <cell r="C239">
            <v>75</v>
          </cell>
          <cell r="F239">
            <v>349</v>
          </cell>
        </row>
        <row r="240">
          <cell r="C240">
            <v>51</v>
          </cell>
          <cell r="F240">
            <v>476</v>
          </cell>
        </row>
        <row r="241">
          <cell r="C241">
            <v>53</v>
          </cell>
          <cell r="F241">
            <v>234</v>
          </cell>
        </row>
        <row r="242">
          <cell r="C242">
            <v>49</v>
          </cell>
          <cell r="F242">
            <v>188</v>
          </cell>
        </row>
        <row r="243">
          <cell r="C243">
            <v>176</v>
          </cell>
          <cell r="F243">
            <v>353</v>
          </cell>
        </row>
        <row r="244">
          <cell r="C244">
            <v>188</v>
          </cell>
          <cell r="F244">
            <v>359</v>
          </cell>
        </row>
        <row r="245">
          <cell r="C245">
            <v>185</v>
          </cell>
          <cell r="F245">
            <v>371</v>
          </cell>
        </row>
        <row r="246">
          <cell r="C246">
            <v>246</v>
          </cell>
          <cell r="F246">
            <v>222</v>
          </cell>
        </row>
        <row r="247">
          <cell r="C247">
            <v>228</v>
          </cell>
          <cell r="F247">
            <v>202</v>
          </cell>
        </row>
        <row r="248">
          <cell r="C248">
            <v>196</v>
          </cell>
          <cell r="F248">
            <v>243</v>
          </cell>
        </row>
        <row r="249">
          <cell r="C249">
            <v>189</v>
          </cell>
          <cell r="F249">
            <v>293</v>
          </cell>
        </row>
        <row r="250">
          <cell r="C250">
            <v>257</v>
          </cell>
          <cell r="F250">
            <v>307</v>
          </cell>
        </row>
        <row r="251">
          <cell r="C251">
            <v>272</v>
          </cell>
          <cell r="F251">
            <v>195</v>
          </cell>
        </row>
        <row r="252">
          <cell r="C252">
            <v>198</v>
          </cell>
          <cell r="F252">
            <v>187</v>
          </cell>
        </row>
        <row r="253">
          <cell r="C253">
            <v>477</v>
          </cell>
          <cell r="F253">
            <v>266</v>
          </cell>
        </row>
        <row r="254">
          <cell r="C254">
            <v>459</v>
          </cell>
          <cell r="F254">
            <v>337</v>
          </cell>
        </row>
        <row r="255">
          <cell r="C255">
            <v>531</v>
          </cell>
          <cell r="F255">
            <v>342</v>
          </cell>
        </row>
        <row r="256">
          <cell r="C256">
            <v>466</v>
          </cell>
          <cell r="F256">
            <v>242</v>
          </cell>
        </row>
        <row r="257">
          <cell r="C257">
            <v>455</v>
          </cell>
          <cell r="F257">
            <v>178</v>
          </cell>
        </row>
        <row r="258">
          <cell r="C258">
            <v>453</v>
          </cell>
          <cell r="F258">
            <v>222</v>
          </cell>
        </row>
        <row r="259">
          <cell r="C259">
            <v>499</v>
          </cell>
          <cell r="F259">
            <v>315</v>
          </cell>
        </row>
        <row r="260">
          <cell r="C260">
            <v>515</v>
          </cell>
          <cell r="F260">
            <v>347</v>
          </cell>
        </row>
        <row r="261">
          <cell r="C261">
            <v>430</v>
          </cell>
          <cell r="F261">
            <v>234</v>
          </cell>
        </row>
        <row r="262">
          <cell r="C262">
            <v>369</v>
          </cell>
          <cell r="F262">
            <v>160</v>
          </cell>
        </row>
        <row r="263">
          <cell r="C263">
            <v>322</v>
          </cell>
          <cell r="F263">
            <v>230</v>
          </cell>
        </row>
        <row r="264">
          <cell r="C264">
            <v>508</v>
          </cell>
          <cell r="F264">
            <v>312</v>
          </cell>
        </row>
        <row r="265">
          <cell r="C265">
            <v>420</v>
          </cell>
          <cell r="F265">
            <v>218</v>
          </cell>
        </row>
        <row r="266">
          <cell r="C266">
            <v>395</v>
          </cell>
          <cell r="F266">
            <v>192</v>
          </cell>
        </row>
        <row r="267">
          <cell r="C267">
            <v>430</v>
          </cell>
          <cell r="F267">
            <v>231</v>
          </cell>
        </row>
        <row r="268">
          <cell r="C268">
            <v>400</v>
          </cell>
          <cell r="F268">
            <v>293</v>
          </cell>
        </row>
        <row r="269">
          <cell r="C269">
            <v>482</v>
          </cell>
          <cell r="F269">
            <v>329</v>
          </cell>
        </row>
        <row r="270">
          <cell r="C270">
            <v>438</v>
          </cell>
          <cell r="F270">
            <v>329</v>
          </cell>
        </row>
        <row r="271">
          <cell r="C271">
            <v>369</v>
          </cell>
          <cell r="F271">
            <v>206</v>
          </cell>
        </row>
        <row r="272">
          <cell r="C272">
            <v>447</v>
          </cell>
          <cell r="F272">
            <v>257</v>
          </cell>
        </row>
        <row r="273">
          <cell r="C273">
            <v>444</v>
          </cell>
          <cell r="F273">
            <v>299</v>
          </cell>
        </row>
        <row r="274">
          <cell r="C274">
            <v>468</v>
          </cell>
          <cell r="F274">
            <v>354</v>
          </cell>
        </row>
        <row r="275">
          <cell r="C275">
            <v>509</v>
          </cell>
          <cell r="F275">
            <v>229</v>
          </cell>
        </row>
        <row r="276">
          <cell r="C276">
            <v>472</v>
          </cell>
          <cell r="F276">
            <v>214</v>
          </cell>
        </row>
        <row r="277">
          <cell r="C277">
            <v>457</v>
          </cell>
          <cell r="F277">
            <v>232</v>
          </cell>
        </row>
        <row r="278">
          <cell r="C278">
            <v>424</v>
          </cell>
          <cell r="F278">
            <v>305</v>
          </cell>
        </row>
        <row r="279">
          <cell r="C279">
            <v>368</v>
          </cell>
          <cell r="F279">
            <v>373</v>
          </cell>
        </row>
        <row r="280">
          <cell r="C280">
            <v>336</v>
          </cell>
          <cell r="F280">
            <v>253</v>
          </cell>
        </row>
        <row r="281">
          <cell r="C281">
            <v>294</v>
          </cell>
          <cell r="F281">
            <v>213</v>
          </cell>
        </row>
        <row r="282">
          <cell r="C282">
            <v>358</v>
          </cell>
          <cell r="F282">
            <v>239</v>
          </cell>
        </row>
        <row r="283">
          <cell r="C283">
            <v>301</v>
          </cell>
          <cell r="F283">
            <v>310</v>
          </cell>
        </row>
        <row r="284">
          <cell r="C284">
            <v>260</v>
          </cell>
          <cell r="F284">
            <v>342</v>
          </cell>
        </row>
        <row r="285">
          <cell r="C285">
            <v>243</v>
          </cell>
          <cell r="F285">
            <v>283</v>
          </cell>
        </row>
        <row r="286">
          <cell r="C286">
            <v>202</v>
          </cell>
          <cell r="F286">
            <v>197</v>
          </cell>
        </row>
        <row r="287">
          <cell r="C287">
            <v>181</v>
          </cell>
          <cell r="F287">
            <v>227</v>
          </cell>
        </row>
        <row r="288">
          <cell r="C288">
            <v>261</v>
          </cell>
          <cell r="F288">
            <v>235</v>
          </cell>
        </row>
        <row r="289">
          <cell r="C289">
            <v>264</v>
          </cell>
          <cell r="F289">
            <v>373</v>
          </cell>
        </row>
        <row r="290">
          <cell r="C290">
            <v>242</v>
          </cell>
          <cell r="F290">
            <v>229</v>
          </cell>
        </row>
        <row r="291">
          <cell r="C291">
            <v>276</v>
          </cell>
          <cell r="F291">
            <v>208</v>
          </cell>
        </row>
        <row r="292">
          <cell r="C292">
            <v>287</v>
          </cell>
          <cell r="F292">
            <v>215</v>
          </cell>
        </row>
        <row r="293">
          <cell r="C293">
            <v>288</v>
          </cell>
          <cell r="F293">
            <v>360</v>
          </cell>
        </row>
        <row r="294">
          <cell r="C294">
            <v>254</v>
          </cell>
          <cell r="F294">
            <v>287</v>
          </cell>
        </row>
        <row r="295">
          <cell r="C295">
            <v>235</v>
          </cell>
          <cell r="F295">
            <v>172</v>
          </cell>
        </row>
        <row r="296">
          <cell r="C296">
            <v>230</v>
          </cell>
          <cell r="F296">
            <v>132</v>
          </cell>
        </row>
        <row r="297">
          <cell r="C297">
            <v>230</v>
          </cell>
          <cell r="F297">
            <v>163</v>
          </cell>
        </row>
        <row r="298">
          <cell r="C298">
            <v>226</v>
          </cell>
          <cell r="F298">
            <v>225</v>
          </cell>
        </row>
        <row r="299">
          <cell r="C299">
            <v>239</v>
          </cell>
          <cell r="F299">
            <v>279</v>
          </cell>
        </row>
        <row r="300">
          <cell r="C300">
            <v>230</v>
          </cell>
          <cell r="F300">
            <v>199</v>
          </cell>
        </row>
        <row r="301">
          <cell r="C301">
            <v>231</v>
          </cell>
          <cell r="F301">
            <v>130</v>
          </cell>
        </row>
        <row r="302">
          <cell r="C302">
            <v>244</v>
          </cell>
          <cell r="F302">
            <v>227</v>
          </cell>
        </row>
        <row r="303">
          <cell r="C303">
            <v>221</v>
          </cell>
          <cell r="F303">
            <v>285</v>
          </cell>
        </row>
        <row r="304">
          <cell r="C304">
            <v>245</v>
          </cell>
          <cell r="F304">
            <v>290</v>
          </cell>
        </row>
        <row r="305">
          <cell r="C305">
            <v>303</v>
          </cell>
          <cell r="F305">
            <v>191</v>
          </cell>
        </row>
        <row r="306">
          <cell r="C306">
            <v>392</v>
          </cell>
          <cell r="F306">
            <v>163</v>
          </cell>
        </row>
        <row r="307">
          <cell r="C307">
            <v>371</v>
          </cell>
          <cell r="F307">
            <v>227</v>
          </cell>
        </row>
        <row r="308">
          <cell r="C308">
            <v>322</v>
          </cell>
          <cell r="F308">
            <v>260</v>
          </cell>
        </row>
        <row r="309">
          <cell r="C309">
            <v>380</v>
          </cell>
          <cell r="F309">
            <v>240</v>
          </cell>
        </row>
        <row r="310">
          <cell r="C310">
            <v>424</v>
          </cell>
          <cell r="F310">
            <v>214</v>
          </cell>
        </row>
        <row r="311">
          <cell r="C311">
            <v>427</v>
          </cell>
          <cell r="F311">
            <v>134</v>
          </cell>
        </row>
        <row r="312">
          <cell r="C312">
            <v>411</v>
          </cell>
          <cell r="F312">
            <v>154</v>
          </cell>
        </row>
        <row r="313">
          <cell r="C313">
            <v>357</v>
          </cell>
          <cell r="F313">
            <v>217</v>
          </cell>
        </row>
        <row r="314">
          <cell r="C314">
            <v>349</v>
          </cell>
          <cell r="F314">
            <v>250</v>
          </cell>
        </row>
        <row r="315">
          <cell r="C315">
            <v>292</v>
          </cell>
          <cell r="F315">
            <v>187</v>
          </cell>
        </row>
        <row r="316">
          <cell r="C316">
            <v>443</v>
          </cell>
          <cell r="F316">
            <v>135</v>
          </cell>
        </row>
        <row r="317">
          <cell r="C317">
            <v>437</v>
          </cell>
          <cell r="F317">
            <v>190</v>
          </cell>
        </row>
        <row r="318">
          <cell r="C318">
            <v>411</v>
          </cell>
          <cell r="F318">
            <v>194</v>
          </cell>
        </row>
        <row r="319">
          <cell r="C319">
            <v>315</v>
          </cell>
          <cell r="F319">
            <v>332</v>
          </cell>
        </row>
        <row r="320">
          <cell r="C320">
            <v>337</v>
          </cell>
          <cell r="F320">
            <v>205</v>
          </cell>
        </row>
        <row r="321">
          <cell r="C321">
            <v>334</v>
          </cell>
          <cell r="F321">
            <v>163</v>
          </cell>
        </row>
        <row r="322">
          <cell r="C322">
            <v>374</v>
          </cell>
          <cell r="F322">
            <v>202</v>
          </cell>
        </row>
        <row r="323">
          <cell r="C323">
            <v>285</v>
          </cell>
          <cell r="F323">
            <v>244</v>
          </cell>
        </row>
        <row r="324">
          <cell r="C324">
            <v>301</v>
          </cell>
          <cell r="F324">
            <v>245</v>
          </cell>
        </row>
        <row r="325">
          <cell r="C325">
            <v>331</v>
          </cell>
          <cell r="F325">
            <v>157</v>
          </cell>
        </row>
        <row r="326">
          <cell r="C326">
            <v>419</v>
          </cell>
          <cell r="F326">
            <v>186</v>
          </cell>
        </row>
        <row r="327">
          <cell r="C327">
            <v>285</v>
          </cell>
          <cell r="F327">
            <v>265</v>
          </cell>
        </row>
        <row r="328">
          <cell r="C328">
            <v>340</v>
          </cell>
          <cell r="F328">
            <v>234</v>
          </cell>
        </row>
        <row r="329">
          <cell r="C329">
            <v>295</v>
          </cell>
          <cell r="F329">
            <v>298</v>
          </cell>
        </row>
        <row r="330">
          <cell r="C330">
            <v>268</v>
          </cell>
          <cell r="F330">
            <v>192</v>
          </cell>
        </row>
        <row r="331">
          <cell r="C331">
            <v>348</v>
          </cell>
          <cell r="F331">
            <v>145</v>
          </cell>
        </row>
        <row r="332">
          <cell r="C332">
            <v>349</v>
          </cell>
          <cell r="F332">
            <v>208</v>
          </cell>
        </row>
        <row r="333">
          <cell r="C333">
            <v>272</v>
          </cell>
          <cell r="F333">
            <v>227</v>
          </cell>
        </row>
        <row r="334">
          <cell r="C334">
            <v>344</v>
          </cell>
          <cell r="F334">
            <v>167</v>
          </cell>
        </row>
        <row r="335">
          <cell r="C335">
            <v>348</v>
          </cell>
          <cell r="F335">
            <v>151</v>
          </cell>
        </row>
        <row r="336">
          <cell r="C336">
            <v>462</v>
          </cell>
          <cell r="F336">
            <v>141</v>
          </cell>
        </row>
        <row r="337">
          <cell r="C337">
            <v>406</v>
          </cell>
          <cell r="F337">
            <v>190</v>
          </cell>
        </row>
        <row r="338">
          <cell r="C338">
            <v>330</v>
          </cell>
          <cell r="F338">
            <v>306</v>
          </cell>
        </row>
        <row r="339">
          <cell r="C339">
            <v>244</v>
          </cell>
          <cell r="F339">
            <v>224</v>
          </cell>
        </row>
        <row r="340">
          <cell r="C340">
            <v>356</v>
          </cell>
          <cell r="F340">
            <v>203</v>
          </cell>
        </row>
        <row r="341">
          <cell r="C341">
            <v>345</v>
          </cell>
          <cell r="F341">
            <v>198</v>
          </cell>
        </row>
        <row r="342">
          <cell r="C342">
            <v>326</v>
          </cell>
          <cell r="F342">
            <v>238</v>
          </cell>
        </row>
        <row r="343">
          <cell r="C343">
            <v>289</v>
          </cell>
          <cell r="F343">
            <v>312</v>
          </cell>
        </row>
        <row r="344">
          <cell r="C344">
            <v>334</v>
          </cell>
          <cell r="F344">
            <v>212</v>
          </cell>
        </row>
        <row r="345">
          <cell r="C345">
            <v>352</v>
          </cell>
          <cell r="F345">
            <v>156</v>
          </cell>
        </row>
        <row r="346">
          <cell r="C346">
            <v>266</v>
          </cell>
          <cell r="F346">
            <v>212</v>
          </cell>
        </row>
        <row r="347">
          <cell r="C347">
            <v>293</v>
          </cell>
          <cell r="F347">
            <v>259</v>
          </cell>
        </row>
        <row r="348">
          <cell r="C348">
            <v>315</v>
          </cell>
          <cell r="F348">
            <v>294</v>
          </cell>
        </row>
        <row r="349">
          <cell r="C349">
            <v>310</v>
          </cell>
          <cell r="F349">
            <v>224</v>
          </cell>
        </row>
        <row r="350">
          <cell r="C350">
            <v>297</v>
          </cell>
          <cell r="F350">
            <v>214</v>
          </cell>
        </row>
        <row r="351">
          <cell r="C351">
            <v>321</v>
          </cell>
          <cell r="F351">
            <v>198</v>
          </cell>
        </row>
        <row r="352">
          <cell r="C352">
            <v>247</v>
          </cell>
          <cell r="F352">
            <v>235</v>
          </cell>
        </row>
        <row r="353">
          <cell r="C353">
            <v>227</v>
          </cell>
          <cell r="F353">
            <v>294</v>
          </cell>
        </row>
        <row r="354">
          <cell r="C354">
            <v>175</v>
          </cell>
          <cell r="F354">
            <v>202</v>
          </cell>
        </row>
        <row r="355">
          <cell r="C355">
            <v>263</v>
          </cell>
          <cell r="F355">
            <v>202</v>
          </cell>
        </row>
        <row r="356">
          <cell r="C356">
            <v>235</v>
          </cell>
          <cell r="F356">
            <v>187</v>
          </cell>
        </row>
        <row r="357">
          <cell r="C357">
            <v>208</v>
          </cell>
          <cell r="F357">
            <v>268</v>
          </cell>
        </row>
        <row r="358">
          <cell r="C358">
            <v>230</v>
          </cell>
          <cell r="F358">
            <v>273</v>
          </cell>
        </row>
        <row r="359">
          <cell r="C359">
            <v>233</v>
          </cell>
          <cell r="F359">
            <v>229</v>
          </cell>
        </row>
        <row r="360">
          <cell r="C360">
            <v>232</v>
          </cell>
          <cell r="F360">
            <v>184</v>
          </cell>
        </row>
        <row r="361">
          <cell r="C361">
            <v>226</v>
          </cell>
          <cell r="F361">
            <v>225</v>
          </cell>
        </row>
        <row r="362">
          <cell r="C362">
            <v>160</v>
          </cell>
          <cell r="F362">
            <v>213</v>
          </cell>
        </row>
        <row r="363">
          <cell r="C363">
            <v>173</v>
          </cell>
          <cell r="F363">
            <v>123</v>
          </cell>
        </row>
        <row r="364">
          <cell r="C364">
            <v>181</v>
          </cell>
          <cell r="F364">
            <v>130</v>
          </cell>
        </row>
        <row r="365">
          <cell r="C365">
            <v>157</v>
          </cell>
          <cell r="F365">
            <v>177</v>
          </cell>
        </row>
        <row r="366">
          <cell r="C366">
            <v>176</v>
          </cell>
          <cell r="F366">
            <v>197</v>
          </cell>
        </row>
        <row r="367">
          <cell r="C367">
            <v>188</v>
          </cell>
          <cell r="F367">
            <v>237</v>
          </cell>
        </row>
        <row r="368">
          <cell r="C368">
            <v>185</v>
          </cell>
          <cell r="F368">
            <v>171</v>
          </cell>
        </row>
        <row r="369">
          <cell r="C369">
            <v>246</v>
          </cell>
          <cell r="F369">
            <v>173</v>
          </cell>
        </row>
        <row r="370">
          <cell r="C370">
            <v>228</v>
          </cell>
          <cell r="F370">
            <v>187</v>
          </cell>
        </row>
        <row r="371">
          <cell r="C371">
            <v>196</v>
          </cell>
          <cell r="F371">
            <v>262</v>
          </cell>
        </row>
        <row r="372">
          <cell r="C372">
            <v>189</v>
          </cell>
          <cell r="F372">
            <v>234</v>
          </cell>
        </row>
        <row r="373">
          <cell r="C373">
            <v>257</v>
          </cell>
          <cell r="F373">
            <v>170</v>
          </cell>
        </row>
        <row r="374">
          <cell r="C374">
            <v>272</v>
          </cell>
          <cell r="F374">
            <v>177</v>
          </cell>
        </row>
        <row r="375">
          <cell r="C375">
            <v>198</v>
          </cell>
          <cell r="F375">
            <v>194</v>
          </cell>
        </row>
        <row r="376">
          <cell r="C376">
            <v>290</v>
          </cell>
          <cell r="F376">
            <v>207</v>
          </cell>
        </row>
        <row r="377">
          <cell r="C377">
            <v>210</v>
          </cell>
          <cell r="F377">
            <v>163</v>
          </cell>
        </row>
        <row r="378">
          <cell r="C378">
            <v>203</v>
          </cell>
          <cell r="F378">
            <v>92</v>
          </cell>
        </row>
        <row r="379">
          <cell r="C379">
            <v>261</v>
          </cell>
          <cell r="F379">
            <v>154</v>
          </cell>
        </row>
        <row r="380">
          <cell r="C380">
            <v>298</v>
          </cell>
          <cell r="F380">
            <v>169</v>
          </cell>
        </row>
        <row r="381">
          <cell r="C381">
            <v>167</v>
          </cell>
          <cell r="F381">
            <v>170</v>
          </cell>
        </row>
        <row r="382">
          <cell r="C382">
            <v>259</v>
          </cell>
          <cell r="F382">
            <v>150</v>
          </cell>
        </row>
        <row r="383">
          <cell r="C383">
            <v>283</v>
          </cell>
          <cell r="F383">
            <v>143</v>
          </cell>
        </row>
        <row r="384">
          <cell r="C384">
            <v>273</v>
          </cell>
          <cell r="F384">
            <v>174</v>
          </cell>
        </row>
        <row r="385">
          <cell r="C385">
            <v>230</v>
          </cell>
          <cell r="F385">
            <v>174</v>
          </cell>
        </row>
        <row r="386">
          <cell r="C386">
            <v>211</v>
          </cell>
          <cell r="F386">
            <v>249</v>
          </cell>
        </row>
        <row r="387">
          <cell r="C387">
            <v>219</v>
          </cell>
          <cell r="F387">
            <v>148</v>
          </cell>
        </row>
        <row r="388">
          <cell r="C388">
            <v>239</v>
          </cell>
          <cell r="F388">
            <v>123</v>
          </cell>
        </row>
        <row r="389">
          <cell r="C389">
            <v>226</v>
          </cell>
          <cell r="F389">
            <v>178</v>
          </cell>
        </row>
        <row r="390">
          <cell r="C390">
            <v>241</v>
          </cell>
          <cell r="F390">
            <v>220</v>
          </cell>
        </row>
        <row r="391">
          <cell r="C391">
            <v>244</v>
          </cell>
          <cell r="F391">
            <v>178</v>
          </cell>
        </row>
        <row r="392">
          <cell r="C392">
            <v>254</v>
          </cell>
          <cell r="F392">
            <v>158</v>
          </cell>
        </row>
        <row r="393">
          <cell r="C393">
            <v>274</v>
          </cell>
          <cell r="F393">
            <v>112</v>
          </cell>
        </row>
        <row r="394">
          <cell r="C394">
            <v>245</v>
          </cell>
          <cell r="F394">
            <v>156</v>
          </cell>
        </row>
        <row r="395">
          <cell r="C395">
            <v>307</v>
          </cell>
          <cell r="F395">
            <v>171</v>
          </cell>
        </row>
        <row r="396">
          <cell r="C396">
            <v>285</v>
          </cell>
          <cell r="F396">
            <v>97</v>
          </cell>
        </row>
        <row r="397">
          <cell r="C397">
            <v>285</v>
          </cell>
          <cell r="F397">
            <v>134</v>
          </cell>
        </row>
        <row r="398">
          <cell r="C398">
            <v>295</v>
          </cell>
          <cell r="F398">
            <v>169</v>
          </cell>
        </row>
        <row r="399">
          <cell r="C399">
            <v>270</v>
          </cell>
          <cell r="F399">
            <v>129</v>
          </cell>
        </row>
        <row r="400">
          <cell r="C400">
            <v>263</v>
          </cell>
          <cell r="F400">
            <v>112</v>
          </cell>
        </row>
        <row r="401">
          <cell r="C401">
            <v>231</v>
          </cell>
          <cell r="F401">
            <v>114</v>
          </cell>
        </row>
        <row r="402">
          <cell r="C402">
            <v>230</v>
          </cell>
          <cell r="F402">
            <v>121</v>
          </cell>
        </row>
        <row r="403">
          <cell r="C403">
            <v>255</v>
          </cell>
          <cell r="F403">
            <v>221</v>
          </cell>
        </row>
        <row r="404">
          <cell r="C404">
            <v>275</v>
          </cell>
          <cell r="F404">
            <v>141</v>
          </cell>
        </row>
        <row r="405">
          <cell r="C405">
            <v>251</v>
          </cell>
          <cell r="F405">
            <v>148</v>
          </cell>
        </row>
        <row r="406">
          <cell r="C406">
            <v>248</v>
          </cell>
          <cell r="F406">
            <v>162</v>
          </cell>
        </row>
        <row r="407">
          <cell r="C407">
            <v>280</v>
          </cell>
          <cell r="F407">
            <v>220</v>
          </cell>
        </row>
        <row r="408">
          <cell r="C408">
            <v>200</v>
          </cell>
          <cell r="F408">
            <v>279</v>
          </cell>
        </row>
        <row r="409">
          <cell r="C409">
            <v>220</v>
          </cell>
          <cell r="F409">
            <v>210</v>
          </cell>
        </row>
        <row r="410">
          <cell r="C410">
            <v>209</v>
          </cell>
          <cell r="F410">
            <v>164</v>
          </cell>
        </row>
        <row r="411">
          <cell r="C411">
            <v>304</v>
          </cell>
          <cell r="F411">
            <v>160</v>
          </cell>
        </row>
        <row r="412">
          <cell r="C412">
            <v>213</v>
          </cell>
          <cell r="F412">
            <v>149</v>
          </cell>
        </row>
        <row r="413">
          <cell r="C413">
            <v>196</v>
          </cell>
          <cell r="F413">
            <v>188</v>
          </cell>
        </row>
        <row r="414">
          <cell r="C414">
            <v>234</v>
          </cell>
          <cell r="F414">
            <v>197</v>
          </cell>
        </row>
        <row r="415">
          <cell r="C415">
            <v>203</v>
          </cell>
          <cell r="F415">
            <v>165</v>
          </cell>
        </row>
        <row r="416">
          <cell r="C416">
            <v>259</v>
          </cell>
          <cell r="F416">
            <v>143</v>
          </cell>
        </row>
        <row r="417">
          <cell r="C417">
            <v>225</v>
          </cell>
          <cell r="F417">
            <v>169</v>
          </cell>
        </row>
        <row r="418">
          <cell r="C418">
            <v>199</v>
          </cell>
          <cell r="F418">
            <v>185</v>
          </cell>
        </row>
        <row r="419">
          <cell r="C419">
            <v>213</v>
          </cell>
          <cell r="F419">
            <v>177</v>
          </cell>
        </row>
        <row r="420">
          <cell r="C420">
            <v>285</v>
          </cell>
          <cell r="F420">
            <v>138</v>
          </cell>
        </row>
        <row r="421">
          <cell r="C421">
            <v>314</v>
          </cell>
          <cell r="F421">
            <v>137</v>
          </cell>
        </row>
        <row r="422">
          <cell r="C422">
            <v>215</v>
          </cell>
          <cell r="F422">
            <v>173</v>
          </cell>
        </row>
        <row r="423">
          <cell r="C423">
            <v>162</v>
          </cell>
          <cell r="F423">
            <v>193</v>
          </cell>
        </row>
        <row r="424">
          <cell r="C424">
            <v>190</v>
          </cell>
          <cell r="F424">
            <v>153</v>
          </cell>
        </row>
        <row r="425">
          <cell r="C425">
            <v>239</v>
          </cell>
          <cell r="F425">
            <v>123</v>
          </cell>
        </row>
        <row r="426">
          <cell r="C426">
            <v>216</v>
          </cell>
          <cell r="F426">
            <v>137</v>
          </cell>
        </row>
        <row r="427">
          <cell r="C427">
            <v>158</v>
          </cell>
          <cell r="F427">
            <v>159</v>
          </cell>
        </row>
        <row r="428">
          <cell r="C428">
            <v>227</v>
          </cell>
          <cell r="F428">
            <v>210</v>
          </cell>
        </row>
        <row r="429">
          <cell r="C429">
            <v>214</v>
          </cell>
          <cell r="F429">
            <v>106</v>
          </cell>
        </row>
        <row r="430">
          <cell r="C430">
            <v>208</v>
          </cell>
          <cell r="F430">
            <v>107</v>
          </cell>
        </row>
        <row r="431">
          <cell r="C431">
            <v>285</v>
          </cell>
          <cell r="F431">
            <v>129</v>
          </cell>
        </row>
        <row r="432">
          <cell r="C432">
            <v>230</v>
          </cell>
          <cell r="F432">
            <v>160</v>
          </cell>
        </row>
        <row r="433">
          <cell r="C433">
            <v>276</v>
          </cell>
          <cell r="F433">
            <v>195</v>
          </cell>
        </row>
        <row r="434">
          <cell r="C434">
            <v>220</v>
          </cell>
          <cell r="F434">
            <v>154</v>
          </cell>
        </row>
        <row r="435">
          <cell r="C435">
            <v>280</v>
          </cell>
          <cell r="F435">
            <v>109</v>
          </cell>
        </row>
        <row r="436">
          <cell r="C436">
            <v>294</v>
          </cell>
          <cell r="F436">
            <v>138</v>
          </cell>
        </row>
        <row r="437">
          <cell r="C437">
            <v>313</v>
          </cell>
          <cell r="F437">
            <v>192</v>
          </cell>
        </row>
        <row r="438">
          <cell r="C438">
            <v>272</v>
          </cell>
          <cell r="F438">
            <v>156</v>
          </cell>
        </row>
        <row r="439">
          <cell r="C439">
            <v>277</v>
          </cell>
          <cell r="F439">
            <v>126</v>
          </cell>
        </row>
        <row r="440">
          <cell r="C440">
            <v>276</v>
          </cell>
          <cell r="F440">
            <v>160</v>
          </cell>
        </row>
        <row r="441">
          <cell r="C441">
            <v>246</v>
          </cell>
          <cell r="F441">
            <v>177</v>
          </cell>
        </row>
        <row r="442">
          <cell r="C442">
            <v>171</v>
          </cell>
          <cell r="F442">
            <v>184</v>
          </cell>
        </row>
        <row r="443">
          <cell r="C443">
            <v>209</v>
          </cell>
          <cell r="F443">
            <v>132</v>
          </cell>
        </row>
        <row r="444">
          <cell r="C444">
            <v>245</v>
          </cell>
          <cell r="F444">
            <v>126</v>
          </cell>
        </row>
        <row r="445">
          <cell r="C445">
            <v>256</v>
          </cell>
          <cell r="F445">
            <v>137</v>
          </cell>
        </row>
        <row r="446">
          <cell r="C446">
            <v>232</v>
          </cell>
          <cell r="F446">
            <v>177</v>
          </cell>
        </row>
        <row r="447">
          <cell r="C447">
            <v>139</v>
          </cell>
          <cell r="F447">
            <v>145</v>
          </cell>
        </row>
        <row r="448">
          <cell r="C448">
            <v>235</v>
          </cell>
          <cell r="F448">
            <v>138</v>
          </cell>
        </row>
        <row r="449">
          <cell r="C449">
            <v>245</v>
          </cell>
          <cell r="F449">
            <v>151</v>
          </cell>
        </row>
        <row r="450">
          <cell r="C450">
            <v>219</v>
          </cell>
          <cell r="F450">
            <v>172</v>
          </cell>
        </row>
        <row r="451">
          <cell r="C451">
            <v>210</v>
          </cell>
          <cell r="F451">
            <v>195</v>
          </cell>
        </row>
        <row r="452">
          <cell r="C452">
            <v>203</v>
          </cell>
          <cell r="F452">
            <v>138</v>
          </cell>
        </row>
        <row r="453">
          <cell r="C453">
            <v>209</v>
          </cell>
          <cell r="F453">
            <v>146</v>
          </cell>
        </row>
        <row r="454">
          <cell r="C454">
            <v>212</v>
          </cell>
          <cell r="F454">
            <v>148</v>
          </cell>
        </row>
        <row r="455">
          <cell r="C455">
            <v>214</v>
          </cell>
          <cell r="F455">
            <v>210</v>
          </cell>
        </row>
        <row r="456">
          <cell r="C456">
            <v>283</v>
          </cell>
          <cell r="F456">
            <v>207</v>
          </cell>
        </row>
        <row r="457">
          <cell r="C457">
            <v>297</v>
          </cell>
          <cell r="F457">
            <v>129</v>
          </cell>
        </row>
        <row r="458">
          <cell r="C458">
            <v>272</v>
          </cell>
          <cell r="F458">
            <v>112</v>
          </cell>
        </row>
        <row r="459">
          <cell r="C459">
            <v>367</v>
          </cell>
          <cell r="F459">
            <v>211</v>
          </cell>
        </row>
        <row r="460">
          <cell r="C460">
            <v>280</v>
          </cell>
          <cell r="F460">
            <v>143</v>
          </cell>
        </row>
        <row r="461">
          <cell r="C461">
            <v>306</v>
          </cell>
          <cell r="F461">
            <v>149</v>
          </cell>
        </row>
        <row r="462">
          <cell r="C462">
            <v>330</v>
          </cell>
          <cell r="F462">
            <v>115</v>
          </cell>
        </row>
        <row r="463">
          <cell r="C463">
            <v>230</v>
          </cell>
          <cell r="F463">
            <v>107</v>
          </cell>
        </row>
        <row r="464">
          <cell r="C464">
            <v>245</v>
          </cell>
          <cell r="F464">
            <v>115</v>
          </cell>
        </row>
        <row r="465">
          <cell r="C465">
            <v>283</v>
          </cell>
          <cell r="F465">
            <v>150</v>
          </cell>
        </row>
        <row r="466">
          <cell r="C466">
            <v>243</v>
          </cell>
          <cell r="F466">
            <v>172</v>
          </cell>
        </row>
        <row r="467">
          <cell r="C467">
            <v>315</v>
          </cell>
          <cell r="F467">
            <v>174</v>
          </cell>
        </row>
        <row r="468">
          <cell r="C468">
            <v>326</v>
          </cell>
          <cell r="F468">
            <v>149</v>
          </cell>
        </row>
        <row r="469">
          <cell r="C469">
            <v>353</v>
          </cell>
          <cell r="F469">
            <v>152</v>
          </cell>
        </row>
        <row r="470">
          <cell r="C470">
            <v>253</v>
          </cell>
          <cell r="F470">
            <v>194</v>
          </cell>
        </row>
        <row r="471">
          <cell r="C471">
            <v>337</v>
          </cell>
          <cell r="F471">
            <v>224</v>
          </cell>
        </row>
        <row r="472">
          <cell r="C472">
            <v>287</v>
          </cell>
          <cell r="F472">
            <v>149</v>
          </cell>
        </row>
        <row r="473">
          <cell r="C473">
            <v>310</v>
          </cell>
          <cell r="F473">
            <v>151</v>
          </cell>
        </row>
        <row r="474">
          <cell r="C474">
            <v>285</v>
          </cell>
          <cell r="F474">
            <v>134</v>
          </cell>
        </row>
        <row r="475">
          <cell r="C475">
            <v>412</v>
          </cell>
          <cell r="F475">
            <v>238</v>
          </cell>
        </row>
        <row r="476">
          <cell r="C476">
            <v>255</v>
          </cell>
          <cell r="F476">
            <v>268</v>
          </cell>
        </row>
        <row r="477">
          <cell r="C477">
            <v>294</v>
          </cell>
          <cell r="F477">
            <v>231</v>
          </cell>
        </row>
        <row r="478">
          <cell r="C478">
            <v>304</v>
          </cell>
          <cell r="F478">
            <v>155</v>
          </cell>
        </row>
        <row r="479">
          <cell r="C479">
            <v>162</v>
          </cell>
          <cell r="F479">
            <v>107</v>
          </cell>
        </row>
        <row r="480">
          <cell r="C480">
            <v>122</v>
          </cell>
          <cell r="F480">
            <v>135</v>
          </cell>
        </row>
        <row r="481">
          <cell r="C481">
            <v>170</v>
          </cell>
          <cell r="F481">
            <v>216</v>
          </cell>
        </row>
        <row r="482">
          <cell r="C482">
            <v>156</v>
          </cell>
          <cell r="F482">
            <v>177</v>
          </cell>
        </row>
        <row r="483">
          <cell r="C483">
            <v>66</v>
          </cell>
          <cell r="F483">
            <v>144</v>
          </cell>
        </row>
        <row r="484">
          <cell r="C484">
            <v>70</v>
          </cell>
          <cell r="F484">
            <v>170</v>
          </cell>
        </row>
        <row r="485">
          <cell r="C485">
            <v>73</v>
          </cell>
          <cell r="F485">
            <v>185</v>
          </cell>
        </row>
        <row r="486">
          <cell r="C486">
            <v>60</v>
          </cell>
          <cell r="F486">
            <v>190</v>
          </cell>
        </row>
        <row r="487">
          <cell r="C487">
            <v>83</v>
          </cell>
          <cell r="F487">
            <v>133</v>
          </cell>
        </row>
        <row r="488">
          <cell r="C488">
            <v>80</v>
          </cell>
          <cell r="F488">
            <v>184</v>
          </cell>
        </row>
        <row r="489">
          <cell r="C489">
            <v>82</v>
          </cell>
          <cell r="F489">
            <v>164</v>
          </cell>
        </row>
        <row r="490">
          <cell r="C490">
            <v>103</v>
          </cell>
          <cell r="F490">
            <v>235</v>
          </cell>
        </row>
        <row r="491">
          <cell r="C491">
            <v>107</v>
          </cell>
          <cell r="F491">
            <v>181</v>
          </cell>
        </row>
        <row r="492">
          <cell r="C492">
            <v>124</v>
          </cell>
          <cell r="F492">
            <v>139</v>
          </cell>
        </row>
        <row r="493">
          <cell r="C493">
            <v>162</v>
          </cell>
          <cell r="F493">
            <v>164</v>
          </cell>
        </row>
        <row r="494">
          <cell r="C494">
            <v>196</v>
          </cell>
          <cell r="F494">
            <v>159</v>
          </cell>
        </row>
        <row r="495">
          <cell r="C495">
            <v>152</v>
          </cell>
          <cell r="F495">
            <v>176</v>
          </cell>
        </row>
        <row r="496">
          <cell r="C496">
            <v>118</v>
          </cell>
          <cell r="F496">
            <v>127</v>
          </cell>
        </row>
        <row r="497">
          <cell r="C497">
            <v>64</v>
          </cell>
          <cell r="F497">
            <v>54</v>
          </cell>
        </row>
        <row r="498">
          <cell r="C498">
            <v>97</v>
          </cell>
          <cell r="F498">
            <v>83</v>
          </cell>
        </row>
        <row r="499">
          <cell r="C499">
            <v>75</v>
          </cell>
          <cell r="F499">
            <v>174</v>
          </cell>
        </row>
        <row r="500">
          <cell r="C500">
            <v>51</v>
          </cell>
          <cell r="F500">
            <v>182</v>
          </cell>
        </row>
        <row r="501">
          <cell r="C501">
            <v>53</v>
          </cell>
          <cell r="F501">
            <v>127</v>
          </cell>
        </row>
        <row r="502">
          <cell r="C502">
            <v>49</v>
          </cell>
          <cell r="F502">
            <v>101</v>
          </cell>
        </row>
        <row r="503">
          <cell r="C503">
            <v>50</v>
          </cell>
          <cell r="F503">
            <v>99</v>
          </cell>
        </row>
        <row r="504">
          <cell r="C504">
            <v>42</v>
          </cell>
          <cell r="F504">
            <v>159</v>
          </cell>
        </row>
        <row r="505">
          <cell r="C505">
            <v>22</v>
          </cell>
          <cell r="F505">
            <v>168</v>
          </cell>
        </row>
        <row r="506">
          <cell r="C506">
            <v>45</v>
          </cell>
          <cell r="F506">
            <v>102</v>
          </cell>
        </row>
        <row r="507">
          <cell r="C507">
            <v>54</v>
          </cell>
          <cell r="F507">
            <v>74</v>
          </cell>
        </row>
        <row r="508">
          <cell r="C508">
            <v>36</v>
          </cell>
          <cell r="F508">
            <v>104</v>
          </cell>
        </row>
        <row r="509">
          <cell r="C509">
            <v>32</v>
          </cell>
          <cell r="F509">
            <v>145</v>
          </cell>
        </row>
        <row r="510">
          <cell r="C510">
            <v>13</v>
          </cell>
          <cell r="F510">
            <v>99</v>
          </cell>
        </row>
        <row r="511">
          <cell r="C511">
            <v>18</v>
          </cell>
          <cell r="F511">
            <v>63</v>
          </cell>
        </row>
        <row r="512">
          <cell r="C512">
            <v>22</v>
          </cell>
          <cell r="F512">
            <v>50</v>
          </cell>
        </row>
        <row r="513">
          <cell r="C513">
            <v>20</v>
          </cell>
          <cell r="F513">
            <v>66</v>
          </cell>
        </row>
        <row r="514">
          <cell r="C514">
            <v>10</v>
          </cell>
          <cell r="F514">
            <v>72</v>
          </cell>
        </row>
        <row r="515">
          <cell r="C515">
            <v>17</v>
          </cell>
          <cell r="F515">
            <v>15</v>
          </cell>
        </row>
        <row r="516">
          <cell r="C516">
            <v>19</v>
          </cell>
          <cell r="F516">
            <v>9</v>
          </cell>
        </row>
        <row r="517">
          <cell r="C517">
            <v>17</v>
          </cell>
          <cell r="F517">
            <v>19</v>
          </cell>
        </row>
        <row r="518">
          <cell r="C518">
            <v>25</v>
          </cell>
          <cell r="F518">
            <v>32</v>
          </cell>
        </row>
        <row r="519">
          <cell r="C519">
            <v>16</v>
          </cell>
          <cell r="F519">
            <v>35</v>
          </cell>
        </row>
        <row r="520">
          <cell r="C520">
            <v>22</v>
          </cell>
          <cell r="F520">
            <v>24</v>
          </cell>
        </row>
        <row r="521">
          <cell r="C521">
            <v>7</v>
          </cell>
          <cell r="F521">
            <v>23</v>
          </cell>
        </row>
        <row r="522">
          <cell r="C522">
            <v>21</v>
          </cell>
          <cell r="F522">
            <v>23</v>
          </cell>
        </row>
        <row r="523">
          <cell r="C523">
            <v>15</v>
          </cell>
          <cell r="F523">
            <v>37</v>
          </cell>
        </row>
        <row r="524">
          <cell r="C524">
            <v>24</v>
          </cell>
          <cell r="F524">
            <v>31</v>
          </cell>
        </row>
        <row r="525">
          <cell r="C525">
            <v>29</v>
          </cell>
          <cell r="F525">
            <v>25</v>
          </cell>
        </row>
        <row r="526">
          <cell r="C526">
            <v>25</v>
          </cell>
          <cell r="F526">
            <v>30</v>
          </cell>
        </row>
        <row r="527">
          <cell r="C527">
            <v>20</v>
          </cell>
          <cell r="F527">
            <v>40</v>
          </cell>
        </row>
        <row r="528">
          <cell r="C528">
            <v>27</v>
          </cell>
          <cell r="F528">
            <v>33</v>
          </cell>
        </row>
        <row r="529">
          <cell r="C529">
            <v>25</v>
          </cell>
          <cell r="F529">
            <v>30</v>
          </cell>
        </row>
        <row r="530">
          <cell r="C530">
            <v>28</v>
          </cell>
          <cell r="F530">
            <v>23</v>
          </cell>
        </row>
        <row r="531">
          <cell r="C531">
            <v>11</v>
          </cell>
          <cell r="F531">
            <v>20</v>
          </cell>
        </row>
        <row r="532">
          <cell r="C532">
            <v>18</v>
          </cell>
          <cell r="F532">
            <v>8</v>
          </cell>
        </row>
        <row r="533">
          <cell r="C533">
            <v>20</v>
          </cell>
          <cell r="F533">
            <v>6</v>
          </cell>
        </row>
        <row r="534">
          <cell r="C534">
            <v>9</v>
          </cell>
          <cell r="F534">
            <v>5</v>
          </cell>
        </row>
        <row r="535">
          <cell r="C535">
            <v>14</v>
          </cell>
          <cell r="F535">
            <v>8</v>
          </cell>
        </row>
        <row r="536">
          <cell r="C536">
            <v>34</v>
          </cell>
          <cell r="F536">
            <v>8</v>
          </cell>
        </row>
        <row r="537">
          <cell r="C537">
            <v>22</v>
          </cell>
          <cell r="F537">
            <v>9</v>
          </cell>
        </row>
        <row r="538">
          <cell r="C538">
            <v>20</v>
          </cell>
          <cell r="F538">
            <v>7</v>
          </cell>
        </row>
        <row r="539">
          <cell r="C539">
            <v>29</v>
          </cell>
          <cell r="F539">
            <v>2</v>
          </cell>
        </row>
        <row r="540">
          <cell r="C540">
            <v>13</v>
          </cell>
          <cell r="F540">
            <v>7</v>
          </cell>
        </row>
        <row r="541">
          <cell r="C541">
            <v>19</v>
          </cell>
          <cell r="F541">
            <v>6</v>
          </cell>
        </row>
        <row r="542">
          <cell r="C542">
            <v>21</v>
          </cell>
          <cell r="F542">
            <v>2</v>
          </cell>
        </row>
        <row r="543">
          <cell r="C543">
            <v>19</v>
          </cell>
          <cell r="F543">
            <v>2</v>
          </cell>
        </row>
        <row r="544">
          <cell r="C544">
            <v>20</v>
          </cell>
          <cell r="F544">
            <v>2</v>
          </cell>
        </row>
        <row r="545">
          <cell r="C545">
            <v>25</v>
          </cell>
          <cell r="F545">
            <v>5</v>
          </cell>
        </row>
        <row r="546">
          <cell r="C546">
            <v>36</v>
          </cell>
          <cell r="F546">
            <v>12</v>
          </cell>
        </row>
        <row r="547">
          <cell r="C547">
            <v>31</v>
          </cell>
          <cell r="F547">
            <v>3</v>
          </cell>
        </row>
        <row r="548">
          <cell r="C548">
            <v>26</v>
          </cell>
          <cell r="F548">
            <v>8</v>
          </cell>
        </row>
        <row r="549">
          <cell r="C549">
            <v>14</v>
          </cell>
          <cell r="F549">
            <v>11</v>
          </cell>
        </row>
        <row r="550">
          <cell r="C550">
            <v>22</v>
          </cell>
          <cell r="F550">
            <v>5</v>
          </cell>
        </row>
        <row r="551">
          <cell r="C551">
            <v>34</v>
          </cell>
          <cell r="F551">
            <v>9</v>
          </cell>
        </row>
        <row r="552">
          <cell r="C552">
            <v>19</v>
          </cell>
          <cell r="F552">
            <v>5</v>
          </cell>
        </row>
        <row r="553">
          <cell r="C553">
            <v>25</v>
          </cell>
          <cell r="F553">
            <v>6</v>
          </cell>
        </row>
        <row r="554">
          <cell r="C554">
            <v>22</v>
          </cell>
          <cell r="F554">
            <v>9</v>
          </cell>
        </row>
        <row r="555">
          <cell r="C555">
            <v>26</v>
          </cell>
          <cell r="F555">
            <v>3</v>
          </cell>
        </row>
        <row r="556">
          <cell r="C556">
            <v>26</v>
          </cell>
          <cell r="F556">
            <v>13</v>
          </cell>
        </row>
        <row r="557">
          <cell r="C557">
            <v>19</v>
          </cell>
          <cell r="F557">
            <v>7</v>
          </cell>
        </row>
        <row r="558">
          <cell r="C558">
            <v>30</v>
          </cell>
          <cell r="F558">
            <v>8</v>
          </cell>
        </row>
        <row r="559">
          <cell r="C559">
            <v>26</v>
          </cell>
          <cell r="F559">
            <v>14</v>
          </cell>
        </row>
        <row r="560">
          <cell r="C560">
            <v>15</v>
          </cell>
          <cell r="F560">
            <v>4</v>
          </cell>
        </row>
        <row r="561">
          <cell r="C561">
            <v>25</v>
          </cell>
          <cell r="F561">
            <v>6</v>
          </cell>
        </row>
        <row r="562">
          <cell r="C562">
            <v>19</v>
          </cell>
          <cell r="F562">
            <v>17</v>
          </cell>
        </row>
        <row r="563">
          <cell r="C563">
            <v>23</v>
          </cell>
          <cell r="F563">
            <v>11</v>
          </cell>
        </row>
        <row r="564">
          <cell r="C564">
            <v>9</v>
          </cell>
          <cell r="F564">
            <v>13</v>
          </cell>
        </row>
        <row r="565">
          <cell r="C565">
            <v>40</v>
          </cell>
          <cell r="F565">
            <v>4</v>
          </cell>
        </row>
        <row r="566">
          <cell r="C566">
            <v>26</v>
          </cell>
          <cell r="F566">
            <v>8</v>
          </cell>
        </row>
        <row r="567">
          <cell r="C567">
            <v>25</v>
          </cell>
          <cell r="F567">
            <v>15</v>
          </cell>
        </row>
        <row r="568">
          <cell r="C568">
            <v>34</v>
          </cell>
          <cell r="F568">
            <v>12</v>
          </cell>
        </row>
        <row r="569">
          <cell r="C569">
            <v>32</v>
          </cell>
          <cell r="F569">
            <v>16</v>
          </cell>
        </row>
        <row r="570">
          <cell r="C570">
            <v>31</v>
          </cell>
          <cell r="F570">
            <v>5</v>
          </cell>
        </row>
        <row r="571">
          <cell r="C571">
            <v>44</v>
          </cell>
          <cell r="F571">
            <v>17</v>
          </cell>
        </row>
        <row r="572">
          <cell r="C572">
            <v>33</v>
          </cell>
          <cell r="F572">
            <v>16</v>
          </cell>
        </row>
        <row r="573">
          <cell r="C573">
            <v>30</v>
          </cell>
          <cell r="F573">
            <v>10</v>
          </cell>
        </row>
        <row r="574">
          <cell r="C574">
            <v>24</v>
          </cell>
          <cell r="F574">
            <v>11</v>
          </cell>
        </row>
        <row r="575">
          <cell r="C575">
            <v>20</v>
          </cell>
          <cell r="F575">
            <v>3</v>
          </cell>
        </row>
        <row r="576">
          <cell r="C576">
            <v>33</v>
          </cell>
          <cell r="F576">
            <v>7</v>
          </cell>
        </row>
        <row r="577">
          <cell r="C577">
            <v>29</v>
          </cell>
          <cell r="F577">
            <v>11</v>
          </cell>
        </row>
        <row r="578">
          <cell r="C578">
            <v>30</v>
          </cell>
          <cell r="F578">
            <v>11</v>
          </cell>
        </row>
        <row r="579">
          <cell r="C579">
            <v>31</v>
          </cell>
          <cell r="F579">
            <v>14</v>
          </cell>
        </row>
        <row r="580">
          <cell r="C580">
            <v>28</v>
          </cell>
          <cell r="F580">
            <v>9</v>
          </cell>
        </row>
        <row r="581">
          <cell r="C581">
            <v>27</v>
          </cell>
          <cell r="F581">
            <v>6</v>
          </cell>
        </row>
        <row r="582">
          <cell r="C582">
            <v>62</v>
          </cell>
          <cell r="F582">
            <v>18</v>
          </cell>
        </row>
        <row r="583">
          <cell r="C583">
            <v>36</v>
          </cell>
          <cell r="F583">
            <v>15</v>
          </cell>
        </row>
        <row r="584">
          <cell r="C584">
            <v>24</v>
          </cell>
          <cell r="F584">
            <v>11</v>
          </cell>
        </row>
        <row r="585">
          <cell r="C585">
            <v>39</v>
          </cell>
          <cell r="F585">
            <v>14</v>
          </cell>
        </row>
        <row r="586">
          <cell r="C586">
            <v>38</v>
          </cell>
          <cell r="F586">
            <v>11</v>
          </cell>
        </row>
        <row r="587">
          <cell r="C587">
            <v>24</v>
          </cell>
          <cell r="F587">
            <v>12</v>
          </cell>
        </row>
        <row r="588">
          <cell r="C588">
            <v>19</v>
          </cell>
          <cell r="F588">
            <v>16</v>
          </cell>
        </row>
        <row r="589">
          <cell r="C589">
            <v>23</v>
          </cell>
          <cell r="F589">
            <v>15</v>
          </cell>
        </row>
        <row r="590">
          <cell r="C590">
            <v>16</v>
          </cell>
          <cell r="F590">
            <v>16</v>
          </cell>
        </row>
        <row r="591">
          <cell r="C591">
            <v>26</v>
          </cell>
          <cell r="F591">
            <v>21</v>
          </cell>
        </row>
        <row r="592">
          <cell r="C592">
            <v>16</v>
          </cell>
          <cell r="F592">
            <v>13</v>
          </cell>
        </row>
        <row r="593">
          <cell r="C593">
            <v>21</v>
          </cell>
          <cell r="F593">
            <v>9</v>
          </cell>
        </row>
        <row r="594">
          <cell r="C594">
            <v>28</v>
          </cell>
          <cell r="F594">
            <v>12</v>
          </cell>
        </row>
        <row r="595">
          <cell r="C595">
            <v>24</v>
          </cell>
          <cell r="F595">
            <v>14</v>
          </cell>
        </row>
        <row r="596">
          <cell r="C596">
            <v>19</v>
          </cell>
          <cell r="F596">
            <v>18</v>
          </cell>
        </row>
        <row r="597">
          <cell r="C597">
            <v>13</v>
          </cell>
          <cell r="F597">
            <v>7</v>
          </cell>
        </row>
        <row r="598">
          <cell r="C598">
            <v>15</v>
          </cell>
          <cell r="F598">
            <v>17</v>
          </cell>
        </row>
        <row r="599">
          <cell r="C599">
            <v>20</v>
          </cell>
          <cell r="F599">
            <v>16</v>
          </cell>
        </row>
        <row r="600">
          <cell r="C600">
            <v>12</v>
          </cell>
          <cell r="F600">
            <v>24</v>
          </cell>
        </row>
        <row r="601">
          <cell r="C601">
            <v>9</v>
          </cell>
          <cell r="F601">
            <v>35</v>
          </cell>
        </row>
        <row r="602">
          <cell r="C602">
            <v>17</v>
          </cell>
          <cell r="F602">
            <v>20</v>
          </cell>
        </row>
        <row r="603">
          <cell r="C603">
            <v>22</v>
          </cell>
          <cell r="F603">
            <v>16</v>
          </cell>
        </row>
        <row r="604">
          <cell r="C604">
            <v>14</v>
          </cell>
          <cell r="F604">
            <v>22</v>
          </cell>
        </row>
        <row r="605">
          <cell r="C605">
            <v>20</v>
          </cell>
          <cell r="F605">
            <v>38</v>
          </cell>
        </row>
        <row r="606">
          <cell r="C606">
            <v>17</v>
          </cell>
          <cell r="F606">
            <v>8</v>
          </cell>
        </row>
        <row r="607">
          <cell r="C607">
            <v>18</v>
          </cell>
          <cell r="F607">
            <v>20</v>
          </cell>
        </row>
        <row r="608">
          <cell r="C608">
            <v>16</v>
          </cell>
          <cell r="F608">
            <v>20</v>
          </cell>
        </row>
        <row r="609">
          <cell r="C609">
            <v>18</v>
          </cell>
          <cell r="F609">
            <v>32</v>
          </cell>
        </row>
        <row r="610">
          <cell r="C610">
            <v>12</v>
          </cell>
          <cell r="F610">
            <v>39</v>
          </cell>
        </row>
        <row r="611">
          <cell r="C611">
            <v>13</v>
          </cell>
          <cell r="F611">
            <v>10</v>
          </cell>
        </row>
        <row r="612">
          <cell r="C612">
            <v>9</v>
          </cell>
          <cell r="F612">
            <v>26</v>
          </cell>
        </row>
        <row r="613">
          <cell r="C613">
            <v>8</v>
          </cell>
          <cell r="F613">
            <v>17</v>
          </cell>
        </row>
        <row r="614">
          <cell r="C614">
            <v>9</v>
          </cell>
          <cell r="F614">
            <v>11</v>
          </cell>
        </row>
        <row r="615">
          <cell r="C615">
            <v>16</v>
          </cell>
          <cell r="F615">
            <v>17</v>
          </cell>
        </row>
        <row r="616">
          <cell r="C616">
            <v>18</v>
          </cell>
          <cell r="F616">
            <v>16</v>
          </cell>
        </row>
        <row r="617">
          <cell r="C617">
            <v>13</v>
          </cell>
          <cell r="F617">
            <v>16</v>
          </cell>
        </row>
        <row r="618">
          <cell r="C618">
            <v>21</v>
          </cell>
          <cell r="F618">
            <v>14</v>
          </cell>
        </row>
        <row r="619">
          <cell r="C619">
            <v>18</v>
          </cell>
          <cell r="F619">
            <v>29</v>
          </cell>
        </row>
        <row r="620">
          <cell r="C620">
            <v>12</v>
          </cell>
          <cell r="F620">
            <v>4</v>
          </cell>
        </row>
        <row r="621">
          <cell r="C621">
            <v>9</v>
          </cell>
          <cell r="F621">
            <v>14</v>
          </cell>
        </row>
        <row r="622">
          <cell r="C622">
            <v>8</v>
          </cell>
          <cell r="F622">
            <v>12</v>
          </cell>
        </row>
        <row r="623">
          <cell r="C623">
            <v>15</v>
          </cell>
          <cell r="F623">
            <v>16</v>
          </cell>
        </row>
        <row r="624">
          <cell r="C624">
            <v>9</v>
          </cell>
          <cell r="F624">
            <v>15</v>
          </cell>
        </row>
        <row r="625">
          <cell r="C625">
            <v>26</v>
          </cell>
          <cell r="F625">
            <v>5</v>
          </cell>
        </row>
        <row r="626">
          <cell r="C626">
            <v>22</v>
          </cell>
          <cell r="F626">
            <v>14</v>
          </cell>
        </row>
        <row r="627">
          <cell r="C627">
            <v>21</v>
          </cell>
          <cell r="F627">
            <v>14</v>
          </cell>
        </row>
        <row r="628">
          <cell r="C628">
            <v>17</v>
          </cell>
          <cell r="F628">
            <v>13</v>
          </cell>
        </row>
        <row r="629">
          <cell r="C629">
            <v>18</v>
          </cell>
          <cell r="F629">
            <v>17</v>
          </cell>
        </row>
        <row r="630">
          <cell r="C630">
            <v>18</v>
          </cell>
          <cell r="F630">
            <v>12</v>
          </cell>
        </row>
        <row r="631">
          <cell r="C631">
            <v>23</v>
          </cell>
          <cell r="F631">
            <v>16</v>
          </cell>
        </row>
        <row r="632">
          <cell r="C632">
            <v>38</v>
          </cell>
          <cell r="F632">
            <v>9</v>
          </cell>
        </row>
        <row r="633">
          <cell r="C633">
            <v>22</v>
          </cell>
          <cell r="F633">
            <v>17</v>
          </cell>
        </row>
        <row r="634">
          <cell r="C634">
            <v>27</v>
          </cell>
          <cell r="F634">
            <v>11</v>
          </cell>
        </row>
        <row r="635">
          <cell r="C635">
            <v>14</v>
          </cell>
          <cell r="F635">
            <v>3</v>
          </cell>
        </row>
        <row r="636">
          <cell r="C636">
            <v>20</v>
          </cell>
          <cell r="F636">
            <v>14</v>
          </cell>
        </row>
        <row r="637">
          <cell r="C637">
            <v>35</v>
          </cell>
          <cell r="F637">
            <v>11</v>
          </cell>
        </row>
        <row r="638">
          <cell r="C638">
            <v>38</v>
          </cell>
          <cell r="F638">
            <v>10</v>
          </cell>
        </row>
        <row r="639">
          <cell r="C639">
            <v>49</v>
          </cell>
          <cell r="F639">
            <v>21</v>
          </cell>
        </row>
        <row r="640">
          <cell r="C640">
            <v>21</v>
          </cell>
          <cell r="F640">
            <v>5</v>
          </cell>
        </row>
        <row r="641">
          <cell r="C641">
            <v>30</v>
          </cell>
          <cell r="F641">
            <v>11</v>
          </cell>
        </row>
        <row r="642">
          <cell r="C642">
            <v>21</v>
          </cell>
          <cell r="F642">
            <v>15</v>
          </cell>
        </row>
        <row r="643">
          <cell r="C643">
            <v>19</v>
          </cell>
          <cell r="F643">
            <v>19</v>
          </cell>
        </row>
        <row r="644">
          <cell r="C644">
            <v>33</v>
          </cell>
          <cell r="F644">
            <v>17</v>
          </cell>
        </row>
        <row r="645">
          <cell r="C645">
            <v>29</v>
          </cell>
          <cell r="F645">
            <v>5</v>
          </cell>
        </row>
        <row r="646">
          <cell r="C646">
            <v>35</v>
          </cell>
          <cell r="F646">
            <v>9</v>
          </cell>
        </row>
        <row r="647">
          <cell r="C647">
            <v>29</v>
          </cell>
          <cell r="F647">
            <v>10</v>
          </cell>
        </row>
        <row r="648">
          <cell r="C648">
            <v>40</v>
          </cell>
          <cell r="F648">
            <v>14</v>
          </cell>
        </row>
        <row r="649">
          <cell r="C649">
            <v>19</v>
          </cell>
          <cell r="F649">
            <v>7</v>
          </cell>
        </row>
        <row r="650">
          <cell r="C650">
            <v>25</v>
          </cell>
          <cell r="F650">
            <v>6</v>
          </cell>
        </row>
        <row r="651">
          <cell r="C651">
            <v>42</v>
          </cell>
          <cell r="F651">
            <v>14</v>
          </cell>
        </row>
        <row r="652">
          <cell r="C652">
            <v>47</v>
          </cell>
          <cell r="F652">
            <v>18</v>
          </cell>
        </row>
        <row r="653">
          <cell r="C653">
            <v>38</v>
          </cell>
          <cell r="F653">
            <v>6</v>
          </cell>
        </row>
        <row r="654">
          <cell r="C654">
            <v>39</v>
          </cell>
          <cell r="F654">
            <v>5</v>
          </cell>
        </row>
        <row r="655">
          <cell r="C655">
            <v>47</v>
          </cell>
          <cell r="F655">
            <v>10</v>
          </cell>
        </row>
        <row r="656">
          <cell r="C656">
            <v>28</v>
          </cell>
          <cell r="F656">
            <v>12</v>
          </cell>
        </row>
        <row r="657">
          <cell r="C657">
            <v>38</v>
          </cell>
          <cell r="F657">
            <v>13</v>
          </cell>
        </row>
        <row r="658">
          <cell r="C658">
            <v>52</v>
          </cell>
          <cell r="F658">
            <v>14</v>
          </cell>
        </row>
        <row r="659">
          <cell r="C659">
            <v>35</v>
          </cell>
          <cell r="F659">
            <v>5</v>
          </cell>
        </row>
        <row r="660">
          <cell r="C660">
            <v>40</v>
          </cell>
          <cell r="F660">
            <v>10</v>
          </cell>
        </row>
        <row r="661">
          <cell r="C661">
            <v>36</v>
          </cell>
          <cell r="F661">
            <v>15</v>
          </cell>
        </row>
        <row r="662">
          <cell r="C662">
            <v>38</v>
          </cell>
          <cell r="F662">
            <v>17</v>
          </cell>
        </row>
        <row r="663">
          <cell r="C663">
            <v>35</v>
          </cell>
          <cell r="F663">
            <v>18</v>
          </cell>
        </row>
        <row r="664">
          <cell r="C664">
            <v>29</v>
          </cell>
          <cell r="F664">
            <v>9</v>
          </cell>
        </row>
        <row r="665">
          <cell r="C665">
            <v>35</v>
          </cell>
          <cell r="F665">
            <v>13</v>
          </cell>
        </row>
        <row r="666">
          <cell r="C666">
            <v>32</v>
          </cell>
          <cell r="F666">
            <v>7</v>
          </cell>
        </row>
        <row r="667">
          <cell r="C667">
            <v>33</v>
          </cell>
          <cell r="F667">
            <v>14</v>
          </cell>
        </row>
        <row r="668">
          <cell r="C668">
            <v>51</v>
          </cell>
          <cell r="F668">
            <v>16</v>
          </cell>
        </row>
        <row r="669">
          <cell r="C669">
            <v>28</v>
          </cell>
          <cell r="F669">
            <v>16</v>
          </cell>
        </row>
        <row r="670">
          <cell r="C670">
            <v>33</v>
          </cell>
          <cell r="F670">
            <v>10</v>
          </cell>
        </row>
        <row r="671">
          <cell r="C671">
            <v>45</v>
          </cell>
          <cell r="F671">
            <v>10</v>
          </cell>
        </row>
        <row r="672">
          <cell r="C672">
            <v>49</v>
          </cell>
          <cell r="F672">
            <v>17</v>
          </cell>
        </row>
        <row r="673">
          <cell r="C673">
            <v>55</v>
          </cell>
          <cell r="F673">
            <v>12</v>
          </cell>
        </row>
        <row r="674">
          <cell r="C674">
            <v>24</v>
          </cell>
          <cell r="F674">
            <v>6</v>
          </cell>
        </row>
        <row r="675">
          <cell r="C675">
            <v>30</v>
          </cell>
          <cell r="F675">
            <v>8</v>
          </cell>
        </row>
        <row r="676">
          <cell r="C676">
            <v>29</v>
          </cell>
          <cell r="F676">
            <v>15</v>
          </cell>
        </row>
        <row r="677">
          <cell r="C677">
            <v>33</v>
          </cell>
          <cell r="F677">
            <v>9</v>
          </cell>
        </row>
        <row r="678">
          <cell r="C678">
            <v>34</v>
          </cell>
          <cell r="F678">
            <v>7</v>
          </cell>
        </row>
        <row r="679">
          <cell r="C679">
            <v>39</v>
          </cell>
          <cell r="F679">
            <v>7</v>
          </cell>
        </row>
        <row r="680">
          <cell r="C680">
            <v>39</v>
          </cell>
          <cell r="F680">
            <v>9</v>
          </cell>
        </row>
        <row r="681">
          <cell r="C681">
            <v>42</v>
          </cell>
          <cell r="F681">
            <v>12</v>
          </cell>
        </row>
        <row r="682">
          <cell r="C682">
            <v>27</v>
          </cell>
          <cell r="F682">
            <v>18</v>
          </cell>
        </row>
        <row r="683">
          <cell r="C683">
            <v>35</v>
          </cell>
          <cell r="F683">
            <v>10</v>
          </cell>
        </row>
        <row r="684">
          <cell r="C684">
            <v>31</v>
          </cell>
          <cell r="F684">
            <v>11</v>
          </cell>
        </row>
        <row r="685">
          <cell r="C685">
            <v>22</v>
          </cell>
          <cell r="F685">
            <v>6</v>
          </cell>
        </row>
        <row r="686">
          <cell r="C686">
            <v>25</v>
          </cell>
          <cell r="F686">
            <v>17</v>
          </cell>
        </row>
        <row r="687">
          <cell r="C687">
            <v>17</v>
          </cell>
          <cell r="F687">
            <v>12</v>
          </cell>
        </row>
        <row r="688">
          <cell r="C688">
            <v>21</v>
          </cell>
          <cell r="F688">
            <v>7</v>
          </cell>
        </row>
        <row r="689">
          <cell r="C689">
            <v>28</v>
          </cell>
          <cell r="F689">
            <v>12</v>
          </cell>
        </row>
        <row r="690">
          <cell r="C690">
            <v>33</v>
          </cell>
          <cell r="F690">
            <v>8</v>
          </cell>
        </row>
        <row r="691">
          <cell r="C691">
            <v>41</v>
          </cell>
          <cell r="F691">
            <v>7</v>
          </cell>
        </row>
        <row r="692">
          <cell r="C692">
            <v>33</v>
          </cell>
          <cell r="F692">
            <v>19</v>
          </cell>
        </row>
        <row r="693">
          <cell r="C693">
            <v>33</v>
          </cell>
          <cell r="F693">
            <v>4</v>
          </cell>
        </row>
        <row r="694">
          <cell r="C694">
            <v>39</v>
          </cell>
          <cell r="F694">
            <v>14</v>
          </cell>
        </row>
        <row r="695">
          <cell r="C695">
            <v>48</v>
          </cell>
          <cell r="F695">
            <v>7</v>
          </cell>
        </row>
        <row r="696">
          <cell r="C696">
            <v>26</v>
          </cell>
          <cell r="F696">
            <v>5</v>
          </cell>
        </row>
        <row r="697">
          <cell r="C697">
            <v>22</v>
          </cell>
          <cell r="F697">
            <v>5</v>
          </cell>
        </row>
        <row r="698">
          <cell r="C698">
            <v>35</v>
          </cell>
          <cell r="F698">
            <v>8</v>
          </cell>
        </row>
        <row r="699">
          <cell r="C699">
            <v>38</v>
          </cell>
          <cell r="F699">
            <v>12</v>
          </cell>
        </row>
        <row r="700">
          <cell r="C700">
            <v>32</v>
          </cell>
          <cell r="F700">
            <v>10</v>
          </cell>
        </row>
        <row r="701">
          <cell r="C701">
            <v>57</v>
          </cell>
          <cell r="F701">
            <v>9</v>
          </cell>
        </row>
        <row r="702">
          <cell r="C702">
            <v>46</v>
          </cell>
          <cell r="F702">
            <v>1</v>
          </cell>
        </row>
        <row r="703">
          <cell r="C703">
            <v>40</v>
          </cell>
          <cell r="F703">
            <v>13</v>
          </cell>
        </row>
        <row r="704">
          <cell r="C704">
            <v>47</v>
          </cell>
          <cell r="F704">
            <v>11</v>
          </cell>
        </row>
        <row r="705">
          <cell r="C705">
            <v>24</v>
          </cell>
          <cell r="F705">
            <v>7</v>
          </cell>
        </row>
        <row r="706">
          <cell r="C706">
            <v>18</v>
          </cell>
          <cell r="F706">
            <v>0</v>
          </cell>
        </row>
        <row r="707">
          <cell r="C707">
            <v>26</v>
          </cell>
          <cell r="F707">
            <v>9</v>
          </cell>
        </row>
        <row r="708">
          <cell r="C708">
            <v>34</v>
          </cell>
          <cell r="F708">
            <v>8</v>
          </cell>
        </row>
        <row r="709">
          <cell r="C709">
            <v>32</v>
          </cell>
          <cell r="F709">
            <v>7</v>
          </cell>
        </row>
        <row r="710">
          <cell r="C710">
            <v>39</v>
          </cell>
          <cell r="F710">
            <v>13</v>
          </cell>
        </row>
        <row r="711">
          <cell r="C711">
            <v>24</v>
          </cell>
          <cell r="F711">
            <v>12</v>
          </cell>
        </row>
        <row r="712">
          <cell r="C712">
            <v>27</v>
          </cell>
          <cell r="F712">
            <v>4</v>
          </cell>
        </row>
        <row r="713">
          <cell r="C713">
            <v>30</v>
          </cell>
          <cell r="F713">
            <v>8</v>
          </cell>
        </row>
        <row r="714">
          <cell r="C714">
            <v>54</v>
          </cell>
          <cell r="F714">
            <v>9</v>
          </cell>
        </row>
        <row r="715">
          <cell r="C715">
            <v>47</v>
          </cell>
          <cell r="F715">
            <v>10</v>
          </cell>
        </row>
        <row r="716">
          <cell r="C716">
            <v>35</v>
          </cell>
          <cell r="F716">
            <v>8</v>
          </cell>
        </row>
        <row r="717">
          <cell r="C717">
            <v>42</v>
          </cell>
          <cell r="F717">
            <v>7</v>
          </cell>
        </row>
        <row r="718">
          <cell r="C718">
            <v>54</v>
          </cell>
          <cell r="F718">
            <v>9</v>
          </cell>
        </row>
        <row r="719">
          <cell r="C719">
            <v>31</v>
          </cell>
          <cell r="F719">
            <v>10</v>
          </cell>
        </row>
        <row r="720">
          <cell r="C720">
            <v>50</v>
          </cell>
          <cell r="F720">
            <v>16</v>
          </cell>
        </row>
        <row r="721">
          <cell r="C721">
            <v>18</v>
          </cell>
          <cell r="F721">
            <v>14</v>
          </cell>
        </row>
      </sheetData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45611-E5D2-4663-90C1-0F85B4158E15}">
  <dimension ref="A1:J721"/>
  <sheetViews>
    <sheetView topLeftCell="B1" zoomScale="108" workbookViewId="0">
      <selection activeCell="F6" sqref="F6"/>
    </sheetView>
  </sheetViews>
  <sheetFormatPr defaultRowHeight="14.4" x14ac:dyDescent="0.3"/>
  <cols>
    <col min="2" max="2" width="42.21875" bestFit="1" customWidth="1"/>
    <col min="3" max="3" width="20.21875" bestFit="1" customWidth="1"/>
    <col min="4" max="4" width="33.77734375" bestFit="1" customWidth="1"/>
    <col min="5" max="5" width="17.77734375" bestFit="1" customWidth="1"/>
    <col min="6" max="6" width="29.77734375" bestFit="1" customWidth="1"/>
    <col min="7" max="7" width="13.5546875" bestFit="1" customWidth="1"/>
    <col min="8" max="8" width="19.77734375" bestFit="1" customWidth="1"/>
    <col min="9" max="9" width="11.33203125" bestFit="1" customWidth="1"/>
    <col min="10" max="10" width="10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726</v>
      </c>
      <c r="H1" t="s">
        <v>729</v>
      </c>
      <c r="I1" t="s">
        <v>727</v>
      </c>
      <c r="J1" t="s">
        <v>728</v>
      </c>
    </row>
    <row r="2" spans="1:10" x14ac:dyDescent="0.3">
      <c r="A2" t="s">
        <v>725</v>
      </c>
      <c r="B2">
        <v>33</v>
      </c>
      <c r="C2">
        <v>53</v>
      </c>
      <c r="D2">
        <v>34</v>
      </c>
      <c r="E2" s="1">
        <v>6566</v>
      </c>
      <c r="F2">
        <v>436</v>
      </c>
      <c r="G2" s="2">
        <f t="shared" ref="G2:G65" si="0">DATE(VALUE(RIGHT(A2,4)),MONTH(DATEVALUE(LEFT(A2,FIND(" ",A2)-1)&amp;"1")),VALUE(MID(A2,FIND(" ",A2)+1,FIND(",",A2)-FIND(" ",A2)-1)))</f>
        <v>44938</v>
      </c>
      <c r="I2" s="2">
        <f>MIN(G2,G721)</f>
        <v>44938</v>
      </c>
      <c r="J2" s="2">
        <f>MAX(G2,G721)</f>
        <v>46012</v>
      </c>
    </row>
    <row r="3" spans="1:10" x14ac:dyDescent="0.3">
      <c r="A3" t="s">
        <v>724</v>
      </c>
      <c r="B3">
        <v>32</v>
      </c>
      <c r="C3">
        <v>49</v>
      </c>
      <c r="D3">
        <v>39</v>
      </c>
      <c r="E3" s="1">
        <v>7122</v>
      </c>
      <c r="F3">
        <v>227</v>
      </c>
      <c r="G3" s="2">
        <f t="shared" si="0"/>
        <v>44948</v>
      </c>
      <c r="H3">
        <f>G3-G2</f>
        <v>10</v>
      </c>
    </row>
    <row r="4" spans="1:10" x14ac:dyDescent="0.3">
      <c r="A4" t="s">
        <v>723</v>
      </c>
      <c r="B4">
        <v>32</v>
      </c>
      <c r="C4">
        <v>50</v>
      </c>
      <c r="D4">
        <v>39</v>
      </c>
      <c r="E4" s="1">
        <v>7280</v>
      </c>
      <c r="F4">
        <v>181</v>
      </c>
      <c r="G4" s="2">
        <f t="shared" si="0"/>
        <v>44949</v>
      </c>
      <c r="H4">
        <f t="shared" ref="H4:H67" si="1">G4-G3</f>
        <v>1</v>
      </c>
    </row>
    <row r="5" spans="1:10" x14ac:dyDescent="0.3">
      <c r="A5" t="s">
        <v>722</v>
      </c>
      <c r="B5">
        <v>47</v>
      </c>
      <c r="C5">
        <v>42</v>
      </c>
      <c r="D5">
        <v>47</v>
      </c>
      <c r="E5" s="1">
        <v>7433</v>
      </c>
      <c r="F5">
        <v>175</v>
      </c>
      <c r="G5" s="2">
        <f t="shared" si="0"/>
        <v>44950</v>
      </c>
      <c r="H5">
        <f t="shared" si="1"/>
        <v>1</v>
      </c>
    </row>
    <row r="6" spans="1:10" x14ac:dyDescent="0.3">
      <c r="A6" t="s">
        <v>721</v>
      </c>
      <c r="B6">
        <v>20</v>
      </c>
      <c r="C6">
        <v>22</v>
      </c>
      <c r="D6">
        <v>41</v>
      </c>
      <c r="E6" s="1">
        <v>7538</v>
      </c>
      <c r="F6">
        <v>180</v>
      </c>
      <c r="G6" s="2">
        <f t="shared" si="0"/>
        <v>44951</v>
      </c>
      <c r="H6">
        <f t="shared" si="1"/>
        <v>1</v>
      </c>
    </row>
    <row r="7" spans="1:10" x14ac:dyDescent="0.3">
      <c r="A7" t="s">
        <v>720</v>
      </c>
      <c r="B7">
        <v>23</v>
      </c>
      <c r="C7">
        <v>45</v>
      </c>
      <c r="D7">
        <v>11</v>
      </c>
      <c r="E7" s="1">
        <v>7472</v>
      </c>
      <c r="F7">
        <v>303</v>
      </c>
      <c r="G7" s="2">
        <f t="shared" si="0"/>
        <v>44955</v>
      </c>
      <c r="H7">
        <f t="shared" si="1"/>
        <v>4</v>
      </c>
    </row>
    <row r="8" spans="1:10" x14ac:dyDescent="0.3">
      <c r="A8" t="s">
        <v>719</v>
      </c>
      <c r="B8">
        <v>34</v>
      </c>
      <c r="C8">
        <v>54</v>
      </c>
      <c r="D8">
        <v>29</v>
      </c>
      <c r="E8" s="1">
        <v>7743</v>
      </c>
      <c r="F8">
        <v>196</v>
      </c>
      <c r="G8" s="2">
        <f t="shared" si="0"/>
        <v>44956</v>
      </c>
      <c r="H8">
        <f t="shared" si="1"/>
        <v>1</v>
      </c>
    </row>
    <row r="9" spans="1:10" x14ac:dyDescent="0.3">
      <c r="A9" t="s">
        <v>718</v>
      </c>
      <c r="B9">
        <v>26</v>
      </c>
      <c r="C9">
        <v>36</v>
      </c>
      <c r="D9">
        <v>36</v>
      </c>
      <c r="E9" s="1">
        <v>7803</v>
      </c>
      <c r="F9">
        <v>158</v>
      </c>
      <c r="G9" s="2">
        <f t="shared" si="0"/>
        <v>44957</v>
      </c>
      <c r="H9">
        <f t="shared" si="1"/>
        <v>1</v>
      </c>
    </row>
    <row r="10" spans="1:10" x14ac:dyDescent="0.3">
      <c r="A10" t="s">
        <v>717</v>
      </c>
      <c r="B10">
        <v>25</v>
      </c>
      <c r="C10">
        <v>32</v>
      </c>
      <c r="D10">
        <v>27</v>
      </c>
      <c r="E10" s="1">
        <v>7903</v>
      </c>
      <c r="F10">
        <v>231</v>
      </c>
      <c r="G10" s="2">
        <f t="shared" si="0"/>
        <v>44958</v>
      </c>
      <c r="H10">
        <f t="shared" si="1"/>
        <v>1</v>
      </c>
    </row>
    <row r="11" spans="1:10" x14ac:dyDescent="0.3">
      <c r="A11" t="s">
        <v>716</v>
      </c>
      <c r="B11">
        <v>15</v>
      </c>
      <c r="C11">
        <v>13</v>
      </c>
      <c r="D11">
        <v>23</v>
      </c>
      <c r="E11" s="1">
        <v>7879</v>
      </c>
      <c r="F11">
        <v>298</v>
      </c>
      <c r="G11" s="2">
        <f t="shared" si="0"/>
        <v>44959</v>
      </c>
      <c r="H11">
        <f t="shared" si="1"/>
        <v>1</v>
      </c>
    </row>
    <row r="12" spans="1:10" x14ac:dyDescent="0.3">
      <c r="A12" t="s">
        <v>715</v>
      </c>
      <c r="B12">
        <v>16</v>
      </c>
      <c r="C12">
        <v>18</v>
      </c>
      <c r="D12">
        <v>15</v>
      </c>
      <c r="E12" s="1">
        <v>7586</v>
      </c>
      <c r="F12">
        <v>342</v>
      </c>
      <c r="G12" s="2">
        <f t="shared" si="0"/>
        <v>44962</v>
      </c>
      <c r="H12">
        <f t="shared" si="1"/>
        <v>3</v>
      </c>
    </row>
    <row r="13" spans="1:10" x14ac:dyDescent="0.3">
      <c r="A13" t="s">
        <v>714</v>
      </c>
      <c r="B13">
        <v>11</v>
      </c>
      <c r="C13">
        <v>22</v>
      </c>
      <c r="D13">
        <v>12</v>
      </c>
      <c r="E13" s="1">
        <v>7720</v>
      </c>
      <c r="F13">
        <v>196</v>
      </c>
      <c r="G13" s="2">
        <f t="shared" si="0"/>
        <v>44963</v>
      </c>
      <c r="H13">
        <f t="shared" si="1"/>
        <v>1</v>
      </c>
    </row>
    <row r="14" spans="1:10" x14ac:dyDescent="0.3">
      <c r="A14" t="s">
        <v>713</v>
      </c>
      <c r="B14">
        <v>16</v>
      </c>
      <c r="C14">
        <v>20</v>
      </c>
      <c r="D14">
        <v>20</v>
      </c>
      <c r="E14" s="1">
        <v>7855</v>
      </c>
      <c r="F14">
        <v>200</v>
      </c>
      <c r="G14" s="2">
        <f t="shared" si="0"/>
        <v>44964</v>
      </c>
      <c r="H14">
        <f t="shared" si="1"/>
        <v>1</v>
      </c>
    </row>
    <row r="15" spans="1:10" x14ac:dyDescent="0.3">
      <c r="A15" t="s">
        <v>712</v>
      </c>
      <c r="B15">
        <v>93</v>
      </c>
      <c r="C15">
        <v>196</v>
      </c>
      <c r="D15">
        <v>169</v>
      </c>
      <c r="E15" s="1">
        <v>7915</v>
      </c>
      <c r="F15">
        <v>317</v>
      </c>
      <c r="G15" s="2">
        <f t="shared" si="0"/>
        <v>44965</v>
      </c>
      <c r="H15">
        <f t="shared" si="1"/>
        <v>1</v>
      </c>
    </row>
    <row r="16" spans="1:10" x14ac:dyDescent="0.3">
      <c r="A16" t="s">
        <v>711</v>
      </c>
      <c r="B16">
        <v>124</v>
      </c>
      <c r="C16">
        <v>234</v>
      </c>
      <c r="D16">
        <v>161</v>
      </c>
      <c r="E16" s="1">
        <v>7908</v>
      </c>
      <c r="F16">
        <v>353</v>
      </c>
      <c r="G16" s="2">
        <f t="shared" si="0"/>
        <v>44966</v>
      </c>
      <c r="H16">
        <f t="shared" si="1"/>
        <v>1</v>
      </c>
    </row>
    <row r="17" spans="1:8" x14ac:dyDescent="0.3">
      <c r="A17" t="s">
        <v>710</v>
      </c>
      <c r="B17">
        <v>92</v>
      </c>
      <c r="C17">
        <v>203</v>
      </c>
      <c r="D17">
        <v>173</v>
      </c>
      <c r="E17" s="1">
        <v>7434</v>
      </c>
      <c r="F17">
        <v>317</v>
      </c>
      <c r="G17" s="2">
        <f t="shared" si="0"/>
        <v>44969</v>
      </c>
      <c r="H17">
        <f t="shared" si="1"/>
        <v>3</v>
      </c>
    </row>
    <row r="18" spans="1:8" x14ac:dyDescent="0.3">
      <c r="A18" t="s">
        <v>709</v>
      </c>
      <c r="B18">
        <v>186</v>
      </c>
      <c r="C18">
        <v>259</v>
      </c>
      <c r="D18">
        <v>172</v>
      </c>
      <c r="E18" s="1">
        <v>7483</v>
      </c>
      <c r="F18">
        <v>244</v>
      </c>
      <c r="G18" s="2">
        <f t="shared" si="0"/>
        <v>44970</v>
      </c>
      <c r="H18">
        <f t="shared" si="1"/>
        <v>1</v>
      </c>
    </row>
    <row r="19" spans="1:8" x14ac:dyDescent="0.3">
      <c r="A19" t="s">
        <v>708</v>
      </c>
      <c r="B19">
        <v>154</v>
      </c>
      <c r="C19">
        <v>225</v>
      </c>
      <c r="D19">
        <v>220</v>
      </c>
      <c r="E19" s="1">
        <v>7794</v>
      </c>
      <c r="F19">
        <v>223</v>
      </c>
      <c r="G19" s="2">
        <f t="shared" si="0"/>
        <v>44971</v>
      </c>
      <c r="H19">
        <f t="shared" si="1"/>
        <v>1</v>
      </c>
    </row>
    <row r="20" spans="1:8" x14ac:dyDescent="0.3">
      <c r="A20" t="s">
        <v>707</v>
      </c>
      <c r="B20">
        <v>91</v>
      </c>
      <c r="C20">
        <v>199</v>
      </c>
      <c r="D20">
        <v>172</v>
      </c>
      <c r="E20" s="1">
        <v>7869</v>
      </c>
      <c r="F20">
        <v>290</v>
      </c>
      <c r="G20" s="2">
        <f t="shared" si="0"/>
        <v>44972</v>
      </c>
      <c r="H20">
        <f t="shared" si="1"/>
        <v>1</v>
      </c>
    </row>
    <row r="21" spans="1:8" x14ac:dyDescent="0.3">
      <c r="A21" t="s">
        <v>706</v>
      </c>
      <c r="B21">
        <v>81</v>
      </c>
      <c r="C21">
        <v>213</v>
      </c>
      <c r="D21">
        <v>153</v>
      </c>
      <c r="E21" s="1">
        <v>7793</v>
      </c>
      <c r="F21">
        <v>361</v>
      </c>
      <c r="G21" s="2">
        <f t="shared" si="0"/>
        <v>44973</v>
      </c>
      <c r="H21">
        <f t="shared" si="1"/>
        <v>1</v>
      </c>
    </row>
    <row r="22" spans="1:8" x14ac:dyDescent="0.3">
      <c r="A22" t="s">
        <v>705</v>
      </c>
      <c r="B22">
        <v>209</v>
      </c>
      <c r="C22">
        <v>285</v>
      </c>
      <c r="D22">
        <v>184</v>
      </c>
      <c r="E22" s="1">
        <v>7817</v>
      </c>
      <c r="F22">
        <v>209</v>
      </c>
      <c r="G22" s="2">
        <f t="shared" si="0"/>
        <v>44977</v>
      </c>
      <c r="H22">
        <f t="shared" si="1"/>
        <v>4</v>
      </c>
    </row>
    <row r="23" spans="1:8" x14ac:dyDescent="0.3">
      <c r="A23" t="s">
        <v>704</v>
      </c>
      <c r="B23">
        <v>184</v>
      </c>
      <c r="C23">
        <v>314</v>
      </c>
      <c r="D23">
        <v>217</v>
      </c>
      <c r="E23" s="1">
        <v>7967</v>
      </c>
      <c r="F23">
        <v>213</v>
      </c>
      <c r="G23" s="2">
        <f t="shared" si="0"/>
        <v>44978</v>
      </c>
      <c r="H23">
        <f t="shared" si="1"/>
        <v>1</v>
      </c>
    </row>
    <row r="24" spans="1:8" x14ac:dyDescent="0.3">
      <c r="A24" t="s">
        <v>703</v>
      </c>
      <c r="B24">
        <v>107</v>
      </c>
      <c r="C24">
        <v>215</v>
      </c>
      <c r="D24">
        <v>230</v>
      </c>
      <c r="E24" s="1">
        <v>7978</v>
      </c>
      <c r="F24">
        <v>232</v>
      </c>
      <c r="G24" s="2">
        <f t="shared" si="0"/>
        <v>44979</v>
      </c>
      <c r="H24">
        <f t="shared" si="1"/>
        <v>1</v>
      </c>
    </row>
    <row r="25" spans="1:8" x14ac:dyDescent="0.3">
      <c r="A25" t="s">
        <v>702</v>
      </c>
      <c r="B25">
        <v>101</v>
      </c>
      <c r="C25">
        <v>162</v>
      </c>
      <c r="D25">
        <v>178</v>
      </c>
      <c r="E25" s="1">
        <v>7914</v>
      </c>
      <c r="F25">
        <v>386</v>
      </c>
      <c r="G25" s="2">
        <f t="shared" si="0"/>
        <v>44980</v>
      </c>
      <c r="H25">
        <f t="shared" si="1"/>
        <v>1</v>
      </c>
    </row>
    <row r="26" spans="1:8" x14ac:dyDescent="0.3">
      <c r="A26" t="s">
        <v>701</v>
      </c>
      <c r="B26">
        <v>99</v>
      </c>
      <c r="C26">
        <v>190</v>
      </c>
      <c r="D26">
        <v>176</v>
      </c>
      <c r="E26" s="1">
        <v>7609</v>
      </c>
      <c r="F26">
        <v>323</v>
      </c>
      <c r="G26" s="2">
        <f t="shared" si="0"/>
        <v>44983</v>
      </c>
      <c r="H26">
        <f t="shared" si="1"/>
        <v>3</v>
      </c>
    </row>
    <row r="27" spans="1:8" x14ac:dyDescent="0.3">
      <c r="A27" t="s">
        <v>700</v>
      </c>
      <c r="B27">
        <v>167</v>
      </c>
      <c r="C27">
        <v>239</v>
      </c>
      <c r="D27">
        <v>166</v>
      </c>
      <c r="E27" s="1">
        <v>7800</v>
      </c>
      <c r="F27">
        <v>248</v>
      </c>
      <c r="G27" s="2">
        <f t="shared" si="0"/>
        <v>44984</v>
      </c>
      <c r="H27">
        <f t="shared" si="1"/>
        <v>1</v>
      </c>
    </row>
    <row r="28" spans="1:8" x14ac:dyDescent="0.3">
      <c r="A28" t="s">
        <v>699</v>
      </c>
      <c r="B28">
        <v>115</v>
      </c>
      <c r="C28">
        <v>216</v>
      </c>
      <c r="D28">
        <v>169</v>
      </c>
      <c r="E28" s="1">
        <v>7896</v>
      </c>
      <c r="F28">
        <v>200</v>
      </c>
      <c r="G28" s="2">
        <f t="shared" si="0"/>
        <v>44985</v>
      </c>
      <c r="H28">
        <f t="shared" si="1"/>
        <v>1</v>
      </c>
    </row>
    <row r="29" spans="1:8" x14ac:dyDescent="0.3">
      <c r="A29" t="s">
        <v>698</v>
      </c>
      <c r="B29">
        <v>84</v>
      </c>
      <c r="C29">
        <v>158</v>
      </c>
      <c r="D29">
        <v>193</v>
      </c>
      <c r="E29" s="1">
        <v>7930</v>
      </c>
      <c r="F29">
        <v>307</v>
      </c>
      <c r="G29" s="2">
        <f t="shared" si="0"/>
        <v>44986</v>
      </c>
      <c r="H29">
        <f t="shared" si="1"/>
        <v>1</v>
      </c>
    </row>
    <row r="30" spans="1:8" x14ac:dyDescent="0.3">
      <c r="A30" t="s">
        <v>697</v>
      </c>
      <c r="B30">
        <v>130</v>
      </c>
      <c r="C30">
        <v>227</v>
      </c>
      <c r="D30">
        <v>192</v>
      </c>
      <c r="E30" s="1">
        <v>7870</v>
      </c>
      <c r="F30">
        <v>335</v>
      </c>
      <c r="G30" s="2">
        <f t="shared" si="0"/>
        <v>44987</v>
      </c>
      <c r="H30">
        <f t="shared" si="1"/>
        <v>1</v>
      </c>
    </row>
    <row r="31" spans="1:8" x14ac:dyDescent="0.3">
      <c r="A31" t="s">
        <v>696</v>
      </c>
      <c r="B31">
        <v>88</v>
      </c>
      <c r="C31">
        <v>214</v>
      </c>
      <c r="D31">
        <v>160</v>
      </c>
      <c r="E31" s="1">
        <v>7859</v>
      </c>
      <c r="F31">
        <v>259</v>
      </c>
      <c r="G31" s="2">
        <f t="shared" si="0"/>
        <v>44992</v>
      </c>
      <c r="H31">
        <f t="shared" si="1"/>
        <v>5</v>
      </c>
    </row>
    <row r="32" spans="1:8" x14ac:dyDescent="0.3">
      <c r="A32" t="s">
        <v>695</v>
      </c>
      <c r="B32">
        <v>113</v>
      </c>
      <c r="C32">
        <v>208</v>
      </c>
      <c r="D32">
        <v>159</v>
      </c>
      <c r="E32" s="1">
        <v>7885</v>
      </c>
      <c r="F32">
        <v>291</v>
      </c>
      <c r="G32" s="2">
        <f t="shared" si="0"/>
        <v>44993</v>
      </c>
      <c r="H32">
        <f t="shared" si="1"/>
        <v>1</v>
      </c>
    </row>
    <row r="33" spans="1:8" x14ac:dyDescent="0.3">
      <c r="A33" t="s">
        <v>694</v>
      </c>
      <c r="B33">
        <v>174</v>
      </c>
      <c r="C33">
        <v>285</v>
      </c>
      <c r="D33">
        <v>150</v>
      </c>
      <c r="E33" s="1">
        <v>7786</v>
      </c>
      <c r="F33">
        <v>340</v>
      </c>
      <c r="G33" s="2">
        <f t="shared" si="0"/>
        <v>44994</v>
      </c>
      <c r="H33">
        <f t="shared" si="1"/>
        <v>1</v>
      </c>
    </row>
    <row r="34" spans="1:8" x14ac:dyDescent="0.3">
      <c r="A34" t="s">
        <v>693</v>
      </c>
      <c r="B34">
        <v>104</v>
      </c>
      <c r="C34">
        <v>230</v>
      </c>
      <c r="D34">
        <v>206</v>
      </c>
      <c r="E34" s="1">
        <v>7567</v>
      </c>
      <c r="F34">
        <v>249</v>
      </c>
      <c r="G34" s="2">
        <f t="shared" si="0"/>
        <v>44998</v>
      </c>
      <c r="H34">
        <f t="shared" si="1"/>
        <v>4</v>
      </c>
    </row>
    <row r="35" spans="1:8" x14ac:dyDescent="0.3">
      <c r="A35" t="s">
        <v>692</v>
      </c>
      <c r="B35">
        <v>147</v>
      </c>
      <c r="C35">
        <v>276</v>
      </c>
      <c r="D35">
        <v>214</v>
      </c>
      <c r="E35" s="1">
        <v>7810</v>
      </c>
      <c r="F35">
        <v>181</v>
      </c>
      <c r="G35" s="2">
        <f t="shared" si="0"/>
        <v>44999</v>
      </c>
      <c r="H35">
        <f t="shared" si="1"/>
        <v>1</v>
      </c>
    </row>
    <row r="36" spans="1:8" x14ac:dyDescent="0.3">
      <c r="A36" t="s">
        <v>691</v>
      </c>
      <c r="B36">
        <v>108</v>
      </c>
      <c r="C36">
        <v>220</v>
      </c>
      <c r="D36">
        <v>213</v>
      </c>
      <c r="E36" s="1">
        <v>7915</v>
      </c>
      <c r="F36">
        <v>286</v>
      </c>
      <c r="G36" s="2">
        <f t="shared" si="0"/>
        <v>45000</v>
      </c>
      <c r="H36">
        <f t="shared" si="1"/>
        <v>1</v>
      </c>
    </row>
    <row r="37" spans="1:8" x14ac:dyDescent="0.3">
      <c r="A37" t="s">
        <v>690</v>
      </c>
      <c r="B37">
        <v>180</v>
      </c>
      <c r="C37">
        <v>280</v>
      </c>
      <c r="D37">
        <v>146</v>
      </c>
      <c r="E37" s="1">
        <v>7989</v>
      </c>
      <c r="F37">
        <v>308</v>
      </c>
      <c r="G37" s="2">
        <f t="shared" si="0"/>
        <v>45001</v>
      </c>
      <c r="H37">
        <f t="shared" si="1"/>
        <v>1</v>
      </c>
    </row>
    <row r="38" spans="1:8" x14ac:dyDescent="0.3">
      <c r="A38" t="s">
        <v>689</v>
      </c>
      <c r="B38">
        <v>134</v>
      </c>
      <c r="C38">
        <v>294</v>
      </c>
      <c r="D38">
        <v>186</v>
      </c>
      <c r="E38" s="1">
        <v>7885</v>
      </c>
      <c r="F38">
        <v>306</v>
      </c>
      <c r="G38" s="2">
        <f t="shared" si="0"/>
        <v>45004</v>
      </c>
      <c r="H38">
        <f t="shared" si="1"/>
        <v>3</v>
      </c>
    </row>
    <row r="39" spans="1:8" x14ac:dyDescent="0.3">
      <c r="A39" t="s">
        <v>688</v>
      </c>
      <c r="B39">
        <v>202</v>
      </c>
      <c r="C39">
        <v>313</v>
      </c>
      <c r="D39">
        <v>158</v>
      </c>
      <c r="E39" s="1">
        <v>7931</v>
      </c>
      <c r="F39">
        <v>279</v>
      </c>
      <c r="G39" s="2">
        <f t="shared" si="0"/>
        <v>45005</v>
      </c>
      <c r="H39">
        <f t="shared" si="1"/>
        <v>1</v>
      </c>
    </row>
    <row r="40" spans="1:8" x14ac:dyDescent="0.3">
      <c r="A40" t="s">
        <v>687</v>
      </c>
      <c r="B40">
        <v>110</v>
      </c>
      <c r="C40">
        <v>272</v>
      </c>
      <c r="D40">
        <v>193</v>
      </c>
      <c r="E40" s="1">
        <v>8050</v>
      </c>
      <c r="F40">
        <v>221</v>
      </c>
      <c r="G40" s="2">
        <f t="shared" si="0"/>
        <v>45006</v>
      </c>
      <c r="H40">
        <f t="shared" si="1"/>
        <v>1</v>
      </c>
    </row>
    <row r="41" spans="1:8" x14ac:dyDescent="0.3">
      <c r="A41" t="s">
        <v>686</v>
      </c>
      <c r="B41">
        <v>166</v>
      </c>
      <c r="C41">
        <v>277</v>
      </c>
      <c r="D41">
        <v>229</v>
      </c>
      <c r="E41" s="1">
        <v>8097</v>
      </c>
      <c r="F41">
        <v>246</v>
      </c>
      <c r="G41" s="2">
        <f t="shared" si="0"/>
        <v>45007</v>
      </c>
      <c r="H41">
        <f t="shared" si="1"/>
        <v>1</v>
      </c>
    </row>
    <row r="42" spans="1:8" x14ac:dyDescent="0.3">
      <c r="A42" t="s">
        <v>685</v>
      </c>
      <c r="B42">
        <v>136</v>
      </c>
      <c r="C42">
        <v>276</v>
      </c>
      <c r="D42">
        <v>178</v>
      </c>
      <c r="E42" s="1">
        <v>8102</v>
      </c>
      <c r="F42">
        <v>331</v>
      </c>
      <c r="G42" s="2">
        <f t="shared" si="0"/>
        <v>45008</v>
      </c>
      <c r="H42">
        <f t="shared" si="1"/>
        <v>1</v>
      </c>
    </row>
    <row r="43" spans="1:8" x14ac:dyDescent="0.3">
      <c r="A43" t="s">
        <v>684</v>
      </c>
      <c r="B43">
        <v>87</v>
      </c>
      <c r="C43">
        <v>246</v>
      </c>
      <c r="D43">
        <v>173</v>
      </c>
      <c r="E43" s="1">
        <v>7847</v>
      </c>
      <c r="F43">
        <v>352</v>
      </c>
      <c r="G43" s="2">
        <f t="shared" si="0"/>
        <v>45011</v>
      </c>
      <c r="H43">
        <f t="shared" si="1"/>
        <v>3</v>
      </c>
    </row>
    <row r="44" spans="1:8" x14ac:dyDescent="0.3">
      <c r="A44" t="s">
        <v>683</v>
      </c>
      <c r="B44">
        <v>84</v>
      </c>
      <c r="C44">
        <v>171</v>
      </c>
      <c r="D44">
        <v>157</v>
      </c>
      <c r="E44" s="1">
        <v>7994</v>
      </c>
      <c r="F44">
        <v>235</v>
      </c>
      <c r="G44" s="2">
        <f t="shared" si="0"/>
        <v>45012</v>
      </c>
      <c r="H44">
        <f t="shared" si="1"/>
        <v>1</v>
      </c>
    </row>
    <row r="45" spans="1:8" x14ac:dyDescent="0.3">
      <c r="A45" t="s">
        <v>682</v>
      </c>
      <c r="B45">
        <v>167</v>
      </c>
      <c r="C45">
        <v>209</v>
      </c>
      <c r="D45">
        <v>157</v>
      </c>
      <c r="E45" s="1">
        <v>8079</v>
      </c>
      <c r="F45">
        <v>223</v>
      </c>
      <c r="G45" s="2">
        <f t="shared" si="0"/>
        <v>45013</v>
      </c>
      <c r="H45">
        <f t="shared" si="1"/>
        <v>1</v>
      </c>
    </row>
    <row r="46" spans="1:8" x14ac:dyDescent="0.3">
      <c r="A46" t="s">
        <v>681</v>
      </c>
      <c r="B46">
        <v>109</v>
      </c>
      <c r="C46">
        <v>245</v>
      </c>
      <c r="D46">
        <v>159</v>
      </c>
      <c r="E46" s="1">
        <v>8208</v>
      </c>
      <c r="F46">
        <v>267</v>
      </c>
      <c r="G46" s="2">
        <f t="shared" si="0"/>
        <v>45014</v>
      </c>
      <c r="H46">
        <f t="shared" si="1"/>
        <v>1</v>
      </c>
    </row>
    <row r="47" spans="1:8" x14ac:dyDescent="0.3">
      <c r="A47" t="s">
        <v>680</v>
      </c>
      <c r="B47">
        <v>156</v>
      </c>
      <c r="C47">
        <v>256</v>
      </c>
      <c r="D47">
        <v>176</v>
      </c>
      <c r="E47" s="1">
        <v>8158</v>
      </c>
      <c r="F47">
        <v>359</v>
      </c>
      <c r="G47" s="2">
        <f t="shared" si="0"/>
        <v>45015</v>
      </c>
      <c r="H47">
        <f t="shared" si="1"/>
        <v>1</v>
      </c>
    </row>
    <row r="48" spans="1:8" x14ac:dyDescent="0.3">
      <c r="A48" t="s">
        <v>679</v>
      </c>
      <c r="B48">
        <v>125</v>
      </c>
      <c r="C48">
        <v>232</v>
      </c>
      <c r="D48">
        <v>192</v>
      </c>
      <c r="E48" s="1">
        <v>7981</v>
      </c>
      <c r="F48">
        <v>304</v>
      </c>
      <c r="G48" s="2">
        <f t="shared" si="0"/>
        <v>45018</v>
      </c>
      <c r="H48">
        <f t="shared" si="1"/>
        <v>3</v>
      </c>
    </row>
    <row r="49" spans="1:8" x14ac:dyDescent="0.3">
      <c r="A49" t="s">
        <v>678</v>
      </c>
      <c r="B49">
        <v>118</v>
      </c>
      <c r="C49">
        <v>139</v>
      </c>
      <c r="D49">
        <v>168</v>
      </c>
      <c r="E49" s="1">
        <v>8054</v>
      </c>
      <c r="F49">
        <v>284</v>
      </c>
      <c r="G49" s="2">
        <f t="shared" si="0"/>
        <v>45019</v>
      </c>
      <c r="H49">
        <f t="shared" si="1"/>
        <v>1</v>
      </c>
    </row>
    <row r="50" spans="1:8" x14ac:dyDescent="0.3">
      <c r="A50" t="s">
        <v>677</v>
      </c>
      <c r="B50">
        <v>142</v>
      </c>
      <c r="C50">
        <v>235</v>
      </c>
      <c r="D50">
        <v>139</v>
      </c>
      <c r="E50" s="1">
        <v>8068</v>
      </c>
      <c r="F50">
        <v>259</v>
      </c>
      <c r="G50" s="2">
        <f t="shared" si="0"/>
        <v>45020</v>
      </c>
      <c r="H50">
        <f t="shared" si="1"/>
        <v>1</v>
      </c>
    </row>
    <row r="51" spans="1:8" x14ac:dyDescent="0.3">
      <c r="A51" t="s">
        <v>676</v>
      </c>
      <c r="B51">
        <v>148</v>
      </c>
      <c r="C51">
        <v>245</v>
      </c>
      <c r="D51">
        <v>175</v>
      </c>
      <c r="E51" s="1">
        <v>8175</v>
      </c>
      <c r="F51">
        <v>260</v>
      </c>
      <c r="G51" s="2">
        <f t="shared" si="0"/>
        <v>45021</v>
      </c>
      <c r="H51">
        <f t="shared" si="1"/>
        <v>1</v>
      </c>
    </row>
    <row r="52" spans="1:8" x14ac:dyDescent="0.3">
      <c r="A52" t="s">
        <v>675</v>
      </c>
      <c r="B52">
        <v>119</v>
      </c>
      <c r="C52">
        <v>219</v>
      </c>
      <c r="D52">
        <v>210</v>
      </c>
      <c r="E52" s="1">
        <v>8178</v>
      </c>
      <c r="F52">
        <v>284</v>
      </c>
      <c r="G52" s="2">
        <f t="shared" si="0"/>
        <v>45022</v>
      </c>
      <c r="H52">
        <f t="shared" si="1"/>
        <v>1</v>
      </c>
    </row>
    <row r="53" spans="1:8" x14ac:dyDescent="0.3">
      <c r="A53" t="s">
        <v>674</v>
      </c>
      <c r="B53">
        <v>105</v>
      </c>
      <c r="C53">
        <v>210</v>
      </c>
      <c r="D53">
        <v>149</v>
      </c>
      <c r="E53" s="1">
        <v>7900</v>
      </c>
      <c r="F53">
        <v>329</v>
      </c>
      <c r="G53" s="2">
        <f t="shared" si="0"/>
        <v>45025</v>
      </c>
      <c r="H53">
        <f t="shared" si="1"/>
        <v>3</v>
      </c>
    </row>
    <row r="54" spans="1:8" x14ac:dyDescent="0.3">
      <c r="A54" t="s">
        <v>673</v>
      </c>
      <c r="B54">
        <v>143</v>
      </c>
      <c r="C54">
        <v>203</v>
      </c>
      <c r="D54">
        <v>163</v>
      </c>
      <c r="E54" s="1">
        <v>7826</v>
      </c>
      <c r="F54">
        <v>265</v>
      </c>
      <c r="G54" s="2">
        <f t="shared" si="0"/>
        <v>45026</v>
      </c>
      <c r="H54">
        <f t="shared" si="1"/>
        <v>1</v>
      </c>
    </row>
    <row r="55" spans="1:8" x14ac:dyDescent="0.3">
      <c r="A55" t="s">
        <v>672</v>
      </c>
      <c r="B55">
        <v>119</v>
      </c>
      <c r="C55">
        <v>209</v>
      </c>
      <c r="D55">
        <v>152</v>
      </c>
      <c r="E55" s="1">
        <v>7922</v>
      </c>
      <c r="F55">
        <v>187</v>
      </c>
      <c r="G55" s="2">
        <f t="shared" si="0"/>
        <v>45027</v>
      </c>
      <c r="H55">
        <f t="shared" si="1"/>
        <v>1</v>
      </c>
    </row>
    <row r="56" spans="1:8" x14ac:dyDescent="0.3">
      <c r="A56" t="s">
        <v>671</v>
      </c>
      <c r="B56">
        <v>155</v>
      </c>
      <c r="C56">
        <v>212</v>
      </c>
      <c r="D56">
        <v>181</v>
      </c>
      <c r="E56" s="1">
        <v>7876</v>
      </c>
      <c r="F56">
        <v>283</v>
      </c>
      <c r="G56" s="2">
        <f t="shared" si="0"/>
        <v>45028</v>
      </c>
      <c r="H56">
        <f t="shared" si="1"/>
        <v>1</v>
      </c>
    </row>
    <row r="57" spans="1:8" x14ac:dyDescent="0.3">
      <c r="A57" t="s">
        <v>670</v>
      </c>
      <c r="B57">
        <v>109</v>
      </c>
      <c r="C57">
        <v>214</v>
      </c>
      <c r="D57">
        <v>173</v>
      </c>
      <c r="E57" s="1">
        <v>7795</v>
      </c>
      <c r="F57">
        <v>370</v>
      </c>
      <c r="G57" s="2">
        <f t="shared" si="0"/>
        <v>45029</v>
      </c>
      <c r="H57">
        <f t="shared" si="1"/>
        <v>1</v>
      </c>
    </row>
    <row r="58" spans="1:8" x14ac:dyDescent="0.3">
      <c r="A58" t="s">
        <v>669</v>
      </c>
      <c r="B58">
        <v>191</v>
      </c>
      <c r="C58">
        <v>283</v>
      </c>
      <c r="D58">
        <v>192</v>
      </c>
      <c r="E58" s="1">
        <v>7380</v>
      </c>
      <c r="F58">
        <v>272</v>
      </c>
      <c r="G58" s="2">
        <f t="shared" si="0"/>
        <v>45032</v>
      </c>
      <c r="H58">
        <f t="shared" si="1"/>
        <v>3</v>
      </c>
    </row>
    <row r="59" spans="1:8" x14ac:dyDescent="0.3">
      <c r="A59" t="s">
        <v>668</v>
      </c>
      <c r="B59">
        <v>170</v>
      </c>
      <c r="C59">
        <v>297</v>
      </c>
      <c r="D59">
        <v>196</v>
      </c>
      <c r="E59" s="1">
        <v>7344</v>
      </c>
      <c r="F59">
        <v>248</v>
      </c>
      <c r="G59" s="2">
        <f t="shared" si="0"/>
        <v>45033</v>
      </c>
      <c r="H59">
        <f t="shared" si="1"/>
        <v>1</v>
      </c>
    </row>
    <row r="60" spans="1:8" x14ac:dyDescent="0.3">
      <c r="A60" t="s">
        <v>667</v>
      </c>
      <c r="B60">
        <v>152</v>
      </c>
      <c r="C60">
        <v>272</v>
      </c>
      <c r="D60">
        <v>214</v>
      </c>
      <c r="E60" s="1">
        <v>7376</v>
      </c>
      <c r="F60">
        <v>234</v>
      </c>
      <c r="G60" s="2">
        <f t="shared" si="0"/>
        <v>45034</v>
      </c>
      <c r="H60">
        <f t="shared" si="1"/>
        <v>1</v>
      </c>
    </row>
    <row r="61" spans="1:8" x14ac:dyDescent="0.3">
      <c r="A61" t="s">
        <v>666</v>
      </c>
      <c r="B61">
        <v>239</v>
      </c>
      <c r="C61">
        <v>367</v>
      </c>
      <c r="D61">
        <v>224</v>
      </c>
      <c r="E61" s="1">
        <v>7356</v>
      </c>
      <c r="F61">
        <v>229</v>
      </c>
      <c r="G61" s="2">
        <f t="shared" si="0"/>
        <v>45035</v>
      </c>
      <c r="H61">
        <f t="shared" si="1"/>
        <v>1</v>
      </c>
    </row>
    <row r="62" spans="1:8" x14ac:dyDescent="0.3">
      <c r="A62" t="s">
        <v>665</v>
      </c>
      <c r="B62">
        <v>113</v>
      </c>
      <c r="C62">
        <v>280</v>
      </c>
      <c r="D62">
        <v>237</v>
      </c>
      <c r="E62" s="1">
        <v>7490</v>
      </c>
      <c r="F62">
        <v>320</v>
      </c>
      <c r="G62" s="2">
        <f t="shared" si="0"/>
        <v>45036</v>
      </c>
      <c r="H62">
        <f t="shared" si="1"/>
        <v>1</v>
      </c>
    </row>
    <row r="63" spans="1:8" x14ac:dyDescent="0.3">
      <c r="A63" t="s">
        <v>664</v>
      </c>
      <c r="B63">
        <v>196</v>
      </c>
      <c r="C63">
        <v>306</v>
      </c>
      <c r="D63">
        <v>187</v>
      </c>
      <c r="E63" s="1">
        <v>7534</v>
      </c>
      <c r="F63">
        <v>266</v>
      </c>
      <c r="G63" s="2">
        <f t="shared" si="0"/>
        <v>45039</v>
      </c>
      <c r="H63">
        <f t="shared" si="1"/>
        <v>3</v>
      </c>
    </row>
    <row r="64" spans="1:8" x14ac:dyDescent="0.3">
      <c r="A64" t="s">
        <v>663</v>
      </c>
      <c r="B64">
        <v>236</v>
      </c>
      <c r="C64">
        <v>330</v>
      </c>
      <c r="D64">
        <v>222</v>
      </c>
      <c r="E64" s="1">
        <v>7796</v>
      </c>
      <c r="F64">
        <v>213</v>
      </c>
      <c r="G64" s="2">
        <f t="shared" si="0"/>
        <v>45040</v>
      </c>
      <c r="H64">
        <f t="shared" si="1"/>
        <v>1</v>
      </c>
    </row>
    <row r="65" spans="1:8" x14ac:dyDescent="0.3">
      <c r="A65" t="s">
        <v>662</v>
      </c>
      <c r="B65">
        <v>81</v>
      </c>
      <c r="C65">
        <v>230</v>
      </c>
      <c r="D65">
        <v>242</v>
      </c>
      <c r="E65" s="1">
        <v>8017</v>
      </c>
      <c r="F65">
        <v>202</v>
      </c>
      <c r="G65" s="2">
        <f t="shared" si="0"/>
        <v>45041</v>
      </c>
      <c r="H65">
        <f t="shared" si="1"/>
        <v>1</v>
      </c>
    </row>
    <row r="66" spans="1:8" x14ac:dyDescent="0.3">
      <c r="A66" t="s">
        <v>661</v>
      </c>
      <c r="B66">
        <v>118</v>
      </c>
      <c r="C66">
        <v>245</v>
      </c>
      <c r="D66">
        <v>160</v>
      </c>
      <c r="E66" s="1">
        <v>8117</v>
      </c>
      <c r="F66">
        <v>256</v>
      </c>
      <c r="G66" s="2">
        <f t="shared" ref="G66:G129" si="2">DATE(VALUE(RIGHT(A66,4)),MONTH(DATEVALUE(LEFT(A66,FIND(" ",A66)-1)&amp;"1")),VALUE(MID(A66,FIND(" ",A66)+1,FIND(",",A66)-FIND(" ",A66)-1)))</f>
        <v>45042</v>
      </c>
      <c r="H66">
        <f t="shared" si="1"/>
        <v>1</v>
      </c>
    </row>
    <row r="67" spans="1:8" x14ac:dyDescent="0.3">
      <c r="A67" t="s">
        <v>660</v>
      </c>
      <c r="B67">
        <v>218</v>
      </c>
      <c r="C67">
        <v>283</v>
      </c>
      <c r="D67">
        <v>208</v>
      </c>
      <c r="E67" s="1">
        <v>8159</v>
      </c>
      <c r="F67">
        <v>310</v>
      </c>
      <c r="G67" s="2">
        <f t="shared" si="2"/>
        <v>45043</v>
      </c>
      <c r="H67">
        <f t="shared" si="1"/>
        <v>1</v>
      </c>
    </row>
    <row r="68" spans="1:8" x14ac:dyDescent="0.3">
      <c r="A68" t="s">
        <v>659</v>
      </c>
      <c r="B68">
        <v>132</v>
      </c>
      <c r="C68">
        <v>243</v>
      </c>
      <c r="D68">
        <v>183</v>
      </c>
      <c r="E68" s="1">
        <v>8352</v>
      </c>
      <c r="F68">
        <v>293</v>
      </c>
      <c r="G68" s="2">
        <f t="shared" si="2"/>
        <v>45046</v>
      </c>
      <c r="H68">
        <f t="shared" ref="H68:H131" si="3">G68-G67</f>
        <v>3</v>
      </c>
    </row>
    <row r="69" spans="1:8" x14ac:dyDescent="0.3">
      <c r="A69" t="s">
        <v>658</v>
      </c>
      <c r="B69">
        <v>224</v>
      </c>
      <c r="C69">
        <v>315</v>
      </c>
      <c r="D69">
        <v>152</v>
      </c>
      <c r="E69" s="1">
        <v>8492</v>
      </c>
      <c r="F69">
        <v>237</v>
      </c>
      <c r="G69" s="2">
        <f t="shared" si="2"/>
        <v>45047</v>
      </c>
      <c r="H69">
        <f t="shared" si="3"/>
        <v>1</v>
      </c>
    </row>
    <row r="70" spans="1:8" x14ac:dyDescent="0.3">
      <c r="A70" t="s">
        <v>657</v>
      </c>
      <c r="B70">
        <v>167</v>
      </c>
      <c r="C70">
        <v>326</v>
      </c>
      <c r="D70">
        <v>213</v>
      </c>
      <c r="E70" s="1">
        <v>8654</v>
      </c>
      <c r="F70">
        <v>245</v>
      </c>
      <c r="G70" s="2">
        <f t="shared" si="2"/>
        <v>45048</v>
      </c>
      <c r="H70">
        <f t="shared" si="3"/>
        <v>1</v>
      </c>
    </row>
    <row r="71" spans="1:8" x14ac:dyDescent="0.3">
      <c r="A71" t="s">
        <v>656</v>
      </c>
      <c r="B71">
        <v>209</v>
      </c>
      <c r="C71">
        <v>353</v>
      </c>
      <c r="D71">
        <v>232</v>
      </c>
      <c r="E71" s="1">
        <v>8704</v>
      </c>
      <c r="F71">
        <v>267</v>
      </c>
      <c r="G71" s="2">
        <f t="shared" si="2"/>
        <v>45049</v>
      </c>
      <c r="H71">
        <f t="shared" si="3"/>
        <v>1</v>
      </c>
    </row>
    <row r="72" spans="1:8" x14ac:dyDescent="0.3">
      <c r="A72" t="s">
        <v>655</v>
      </c>
      <c r="B72">
        <v>153</v>
      </c>
      <c r="C72">
        <v>253</v>
      </c>
      <c r="D72">
        <v>286</v>
      </c>
      <c r="E72" s="1">
        <v>8790</v>
      </c>
      <c r="F72">
        <v>332</v>
      </c>
      <c r="G72" s="2">
        <f t="shared" si="2"/>
        <v>45050</v>
      </c>
      <c r="H72">
        <f t="shared" si="3"/>
        <v>1</v>
      </c>
    </row>
    <row r="73" spans="1:8" x14ac:dyDescent="0.3">
      <c r="A73" t="s">
        <v>654</v>
      </c>
      <c r="B73">
        <v>180</v>
      </c>
      <c r="C73">
        <v>337</v>
      </c>
      <c r="D73">
        <v>219</v>
      </c>
      <c r="E73" s="1">
        <v>8485</v>
      </c>
      <c r="F73">
        <v>375</v>
      </c>
      <c r="G73" s="2">
        <f t="shared" si="2"/>
        <v>45053</v>
      </c>
      <c r="H73">
        <f t="shared" si="3"/>
        <v>3</v>
      </c>
    </row>
    <row r="74" spans="1:8" x14ac:dyDescent="0.3">
      <c r="A74" t="s">
        <v>653</v>
      </c>
      <c r="B74">
        <v>133</v>
      </c>
      <c r="C74">
        <v>287</v>
      </c>
      <c r="D74">
        <v>189</v>
      </c>
      <c r="E74" s="1">
        <v>8590</v>
      </c>
      <c r="F74">
        <v>261</v>
      </c>
      <c r="G74" s="2">
        <f t="shared" si="2"/>
        <v>45054</v>
      </c>
      <c r="H74">
        <f t="shared" si="3"/>
        <v>1</v>
      </c>
    </row>
    <row r="75" spans="1:8" x14ac:dyDescent="0.3">
      <c r="A75" t="s">
        <v>652</v>
      </c>
      <c r="B75">
        <v>187</v>
      </c>
      <c r="C75">
        <v>310</v>
      </c>
      <c r="D75">
        <v>247</v>
      </c>
      <c r="E75" s="1">
        <v>8606</v>
      </c>
      <c r="F75">
        <v>250</v>
      </c>
      <c r="G75" s="2">
        <f t="shared" si="2"/>
        <v>45055</v>
      </c>
      <c r="H75">
        <f t="shared" si="3"/>
        <v>1</v>
      </c>
    </row>
    <row r="76" spans="1:8" x14ac:dyDescent="0.3">
      <c r="A76" t="s">
        <v>651</v>
      </c>
      <c r="B76">
        <v>168</v>
      </c>
      <c r="C76">
        <v>285</v>
      </c>
      <c r="D76">
        <v>210</v>
      </c>
      <c r="E76" s="1">
        <v>8681</v>
      </c>
      <c r="F76">
        <v>304</v>
      </c>
      <c r="G76" s="2">
        <f t="shared" si="2"/>
        <v>45056</v>
      </c>
      <c r="H76">
        <f t="shared" si="3"/>
        <v>1</v>
      </c>
    </row>
    <row r="77" spans="1:8" x14ac:dyDescent="0.3">
      <c r="A77" t="s">
        <v>650</v>
      </c>
      <c r="B77">
        <v>269</v>
      </c>
      <c r="C77">
        <v>412</v>
      </c>
      <c r="D77">
        <v>204</v>
      </c>
      <c r="E77" s="1">
        <v>8672</v>
      </c>
      <c r="F77">
        <v>392</v>
      </c>
      <c r="G77" s="2">
        <f t="shared" si="2"/>
        <v>45057</v>
      </c>
      <c r="H77">
        <f t="shared" si="3"/>
        <v>1</v>
      </c>
    </row>
    <row r="78" spans="1:8" x14ac:dyDescent="0.3">
      <c r="A78" t="s">
        <v>649</v>
      </c>
      <c r="B78">
        <v>100</v>
      </c>
      <c r="C78">
        <v>255</v>
      </c>
      <c r="D78">
        <v>236</v>
      </c>
      <c r="E78" s="1">
        <v>8445</v>
      </c>
      <c r="F78">
        <v>288</v>
      </c>
      <c r="G78" s="2">
        <f t="shared" si="2"/>
        <v>45060</v>
      </c>
      <c r="H78">
        <f t="shared" si="3"/>
        <v>3</v>
      </c>
    </row>
    <row r="79" spans="1:8" x14ac:dyDescent="0.3">
      <c r="A79" t="s">
        <v>648</v>
      </c>
      <c r="B79">
        <v>205</v>
      </c>
      <c r="C79">
        <v>294</v>
      </c>
      <c r="D79">
        <v>177</v>
      </c>
      <c r="E79" s="1">
        <v>8571</v>
      </c>
      <c r="F79">
        <v>277</v>
      </c>
      <c r="G79" s="2">
        <f t="shared" si="2"/>
        <v>45061</v>
      </c>
      <c r="H79">
        <f t="shared" si="3"/>
        <v>1</v>
      </c>
    </row>
    <row r="80" spans="1:8" x14ac:dyDescent="0.3">
      <c r="A80" t="s">
        <v>647</v>
      </c>
      <c r="B80">
        <v>161</v>
      </c>
      <c r="C80">
        <v>304</v>
      </c>
      <c r="D80">
        <v>211</v>
      </c>
      <c r="E80" s="1">
        <v>8572</v>
      </c>
      <c r="F80">
        <v>272</v>
      </c>
      <c r="G80" s="2">
        <f t="shared" si="2"/>
        <v>45062</v>
      </c>
      <c r="H80">
        <f t="shared" si="3"/>
        <v>1</v>
      </c>
    </row>
    <row r="81" spans="1:8" x14ac:dyDescent="0.3">
      <c r="A81" t="s">
        <v>646</v>
      </c>
      <c r="B81">
        <v>57</v>
      </c>
      <c r="C81">
        <v>162</v>
      </c>
      <c r="D81">
        <v>193</v>
      </c>
      <c r="E81" s="1">
        <v>8569</v>
      </c>
      <c r="F81">
        <v>307</v>
      </c>
      <c r="G81" s="2">
        <f t="shared" si="2"/>
        <v>45063</v>
      </c>
      <c r="H81">
        <f t="shared" si="3"/>
        <v>1</v>
      </c>
    </row>
    <row r="82" spans="1:8" x14ac:dyDescent="0.3">
      <c r="A82" t="s">
        <v>645</v>
      </c>
      <c r="B82">
        <v>80</v>
      </c>
      <c r="C82">
        <v>122</v>
      </c>
      <c r="D82">
        <v>152</v>
      </c>
      <c r="E82" s="1">
        <v>8474</v>
      </c>
      <c r="F82">
        <v>351</v>
      </c>
      <c r="G82" s="2">
        <f t="shared" si="2"/>
        <v>45064</v>
      </c>
      <c r="H82">
        <f t="shared" si="3"/>
        <v>1</v>
      </c>
    </row>
    <row r="83" spans="1:8" x14ac:dyDescent="0.3">
      <c r="A83" t="s">
        <v>644</v>
      </c>
      <c r="B83">
        <v>107</v>
      </c>
      <c r="C83">
        <v>170</v>
      </c>
      <c r="D83">
        <v>133</v>
      </c>
      <c r="E83" s="1">
        <v>7826</v>
      </c>
      <c r="F83">
        <v>343</v>
      </c>
      <c r="G83" s="2">
        <f t="shared" si="2"/>
        <v>45067</v>
      </c>
      <c r="H83">
        <f t="shared" si="3"/>
        <v>3</v>
      </c>
    </row>
    <row r="84" spans="1:8" x14ac:dyDescent="0.3">
      <c r="A84" t="s">
        <v>643</v>
      </c>
      <c r="B84">
        <v>99</v>
      </c>
      <c r="C84">
        <v>156</v>
      </c>
      <c r="D84">
        <v>139</v>
      </c>
      <c r="E84" s="1">
        <v>7848</v>
      </c>
      <c r="F84">
        <v>240</v>
      </c>
      <c r="G84" s="2">
        <f t="shared" si="2"/>
        <v>45068</v>
      </c>
      <c r="H84">
        <f t="shared" si="3"/>
        <v>1</v>
      </c>
    </row>
    <row r="85" spans="1:8" x14ac:dyDescent="0.3">
      <c r="A85" t="s">
        <v>642</v>
      </c>
      <c r="B85">
        <v>25</v>
      </c>
      <c r="C85">
        <v>66</v>
      </c>
      <c r="D85">
        <v>94</v>
      </c>
      <c r="E85" s="1">
        <v>7788</v>
      </c>
      <c r="F85">
        <v>246</v>
      </c>
      <c r="G85" s="2">
        <f t="shared" si="2"/>
        <v>45069</v>
      </c>
      <c r="H85">
        <f t="shared" si="3"/>
        <v>1</v>
      </c>
    </row>
    <row r="86" spans="1:8" x14ac:dyDescent="0.3">
      <c r="A86" t="s">
        <v>641</v>
      </c>
      <c r="B86">
        <v>35</v>
      </c>
      <c r="C86">
        <v>70</v>
      </c>
      <c r="D86">
        <v>53</v>
      </c>
      <c r="E86" s="1">
        <v>7709</v>
      </c>
      <c r="F86">
        <v>276</v>
      </c>
      <c r="G86" s="2">
        <f t="shared" si="2"/>
        <v>45070</v>
      </c>
      <c r="H86">
        <f t="shared" si="3"/>
        <v>1</v>
      </c>
    </row>
    <row r="87" spans="1:8" x14ac:dyDescent="0.3">
      <c r="A87" t="s">
        <v>640</v>
      </c>
      <c r="B87">
        <v>43</v>
      </c>
      <c r="C87">
        <v>73</v>
      </c>
      <c r="D87">
        <v>64</v>
      </c>
      <c r="E87" s="1">
        <v>7546</v>
      </c>
      <c r="F87">
        <v>408</v>
      </c>
      <c r="G87" s="2">
        <f t="shared" si="2"/>
        <v>45071</v>
      </c>
      <c r="H87">
        <f t="shared" si="3"/>
        <v>1</v>
      </c>
    </row>
    <row r="88" spans="1:8" x14ac:dyDescent="0.3">
      <c r="A88" t="s">
        <v>639</v>
      </c>
      <c r="B88">
        <v>41</v>
      </c>
      <c r="C88">
        <v>60</v>
      </c>
      <c r="D88">
        <v>71</v>
      </c>
      <c r="E88" s="1">
        <v>6996</v>
      </c>
      <c r="F88">
        <v>207</v>
      </c>
      <c r="G88" s="2">
        <f t="shared" si="2"/>
        <v>45075</v>
      </c>
      <c r="H88">
        <f t="shared" si="3"/>
        <v>4</v>
      </c>
    </row>
    <row r="89" spans="1:8" x14ac:dyDescent="0.3">
      <c r="A89" t="s">
        <v>638</v>
      </c>
      <c r="B89">
        <v>65</v>
      </c>
      <c r="C89">
        <v>83</v>
      </c>
      <c r="D89">
        <v>65</v>
      </c>
      <c r="E89" s="1">
        <v>7046</v>
      </c>
      <c r="F89">
        <v>168</v>
      </c>
      <c r="G89" s="2">
        <f t="shared" si="2"/>
        <v>45076</v>
      </c>
      <c r="H89">
        <f t="shared" si="3"/>
        <v>1</v>
      </c>
    </row>
    <row r="90" spans="1:8" x14ac:dyDescent="0.3">
      <c r="A90" t="s">
        <v>637</v>
      </c>
      <c r="B90">
        <v>38</v>
      </c>
      <c r="C90">
        <v>80</v>
      </c>
      <c r="D90">
        <v>82</v>
      </c>
      <c r="E90" s="1">
        <v>7053</v>
      </c>
      <c r="F90">
        <v>210</v>
      </c>
      <c r="G90" s="2">
        <f t="shared" si="2"/>
        <v>45077</v>
      </c>
      <c r="H90">
        <f t="shared" si="3"/>
        <v>1</v>
      </c>
    </row>
    <row r="91" spans="1:8" x14ac:dyDescent="0.3">
      <c r="A91" t="s">
        <v>636</v>
      </c>
      <c r="B91">
        <v>56</v>
      </c>
      <c r="C91">
        <v>82</v>
      </c>
      <c r="D91">
        <v>68</v>
      </c>
      <c r="E91" s="1">
        <v>7002</v>
      </c>
      <c r="F91">
        <v>287</v>
      </c>
      <c r="G91" s="2">
        <f t="shared" si="2"/>
        <v>45078</v>
      </c>
      <c r="H91">
        <f t="shared" si="3"/>
        <v>1</v>
      </c>
    </row>
    <row r="92" spans="1:8" x14ac:dyDescent="0.3">
      <c r="A92" t="s">
        <v>635</v>
      </c>
      <c r="B92">
        <v>74</v>
      </c>
      <c r="C92">
        <v>103</v>
      </c>
      <c r="D92">
        <v>80</v>
      </c>
      <c r="E92" s="1">
        <v>6555</v>
      </c>
      <c r="F92">
        <v>292</v>
      </c>
      <c r="G92" s="2">
        <f t="shared" si="2"/>
        <v>45081</v>
      </c>
      <c r="H92">
        <f t="shared" si="3"/>
        <v>3</v>
      </c>
    </row>
    <row r="93" spans="1:8" x14ac:dyDescent="0.3">
      <c r="A93" t="s">
        <v>634</v>
      </c>
      <c r="B93">
        <v>68</v>
      </c>
      <c r="C93">
        <v>107</v>
      </c>
      <c r="D93">
        <v>102</v>
      </c>
      <c r="E93" s="1">
        <v>6523</v>
      </c>
      <c r="F93">
        <v>189</v>
      </c>
      <c r="G93" s="2">
        <f t="shared" si="2"/>
        <v>45082</v>
      </c>
      <c r="H93">
        <f t="shared" si="3"/>
        <v>1</v>
      </c>
    </row>
    <row r="94" spans="1:8" x14ac:dyDescent="0.3">
      <c r="A94" t="s">
        <v>633</v>
      </c>
      <c r="B94">
        <v>92</v>
      </c>
      <c r="C94">
        <v>124</v>
      </c>
      <c r="D94">
        <v>93</v>
      </c>
      <c r="E94" s="1">
        <v>6508</v>
      </c>
      <c r="F94">
        <v>187</v>
      </c>
      <c r="G94" s="2">
        <f t="shared" si="2"/>
        <v>45083</v>
      </c>
      <c r="H94">
        <f t="shared" si="3"/>
        <v>1</v>
      </c>
    </row>
    <row r="95" spans="1:8" x14ac:dyDescent="0.3">
      <c r="A95" t="s">
        <v>632</v>
      </c>
      <c r="B95">
        <v>113</v>
      </c>
      <c r="C95">
        <v>162</v>
      </c>
      <c r="D95">
        <v>107</v>
      </c>
      <c r="E95" s="1">
        <v>6483</v>
      </c>
      <c r="F95">
        <v>208</v>
      </c>
      <c r="G95" s="2">
        <f t="shared" si="2"/>
        <v>45084</v>
      </c>
      <c r="H95">
        <f t="shared" si="3"/>
        <v>1</v>
      </c>
    </row>
    <row r="96" spans="1:8" x14ac:dyDescent="0.3">
      <c r="A96" t="s">
        <v>631</v>
      </c>
      <c r="B96">
        <v>106</v>
      </c>
      <c r="C96">
        <v>196</v>
      </c>
      <c r="D96">
        <v>131</v>
      </c>
      <c r="E96" s="1">
        <v>6446</v>
      </c>
      <c r="F96">
        <v>255</v>
      </c>
      <c r="G96" s="2">
        <f t="shared" si="2"/>
        <v>45085</v>
      </c>
      <c r="H96">
        <f t="shared" si="3"/>
        <v>1</v>
      </c>
    </row>
    <row r="97" spans="1:8" x14ac:dyDescent="0.3">
      <c r="A97" t="s">
        <v>630</v>
      </c>
      <c r="B97">
        <v>86</v>
      </c>
      <c r="C97">
        <v>152</v>
      </c>
      <c r="D97">
        <v>168</v>
      </c>
      <c r="E97" s="1">
        <v>6007</v>
      </c>
      <c r="F97">
        <v>238</v>
      </c>
      <c r="G97" s="2">
        <f t="shared" si="2"/>
        <v>45088</v>
      </c>
      <c r="H97">
        <f t="shared" si="3"/>
        <v>3</v>
      </c>
    </row>
    <row r="98" spans="1:8" x14ac:dyDescent="0.3">
      <c r="A98" t="s">
        <v>629</v>
      </c>
      <c r="B98">
        <v>84</v>
      </c>
      <c r="C98">
        <v>118</v>
      </c>
      <c r="D98">
        <v>136</v>
      </c>
      <c r="E98" s="1">
        <v>6021</v>
      </c>
      <c r="F98">
        <v>177</v>
      </c>
      <c r="G98" s="2">
        <f t="shared" si="2"/>
        <v>45089</v>
      </c>
      <c r="H98">
        <f t="shared" si="3"/>
        <v>1</v>
      </c>
    </row>
    <row r="99" spans="1:8" x14ac:dyDescent="0.3">
      <c r="A99" t="s">
        <v>628</v>
      </c>
      <c r="B99">
        <v>59</v>
      </c>
      <c r="C99">
        <v>64</v>
      </c>
      <c r="D99">
        <v>117</v>
      </c>
      <c r="E99" s="1">
        <v>6061</v>
      </c>
      <c r="F99">
        <v>146</v>
      </c>
      <c r="G99" s="2">
        <f t="shared" si="2"/>
        <v>45090</v>
      </c>
      <c r="H99">
        <f t="shared" si="3"/>
        <v>1</v>
      </c>
    </row>
    <row r="100" spans="1:8" x14ac:dyDescent="0.3">
      <c r="A100" t="s">
        <v>627</v>
      </c>
      <c r="B100">
        <v>62</v>
      </c>
      <c r="C100">
        <v>97</v>
      </c>
      <c r="D100">
        <v>52</v>
      </c>
      <c r="E100" s="1">
        <v>6065</v>
      </c>
      <c r="F100">
        <v>167</v>
      </c>
      <c r="G100" s="2">
        <f t="shared" si="2"/>
        <v>45091</v>
      </c>
      <c r="H100">
        <f t="shared" si="3"/>
        <v>1</v>
      </c>
    </row>
    <row r="101" spans="1:8" x14ac:dyDescent="0.3">
      <c r="A101" t="s">
        <v>626</v>
      </c>
      <c r="B101">
        <v>91</v>
      </c>
      <c r="C101">
        <v>75</v>
      </c>
      <c r="D101">
        <v>97</v>
      </c>
      <c r="E101" s="1">
        <v>6038</v>
      </c>
      <c r="F101">
        <v>272</v>
      </c>
      <c r="G101" s="2">
        <f t="shared" si="2"/>
        <v>45092</v>
      </c>
      <c r="H101">
        <f t="shared" si="3"/>
        <v>1</v>
      </c>
    </row>
    <row r="102" spans="1:8" x14ac:dyDescent="0.3">
      <c r="A102" t="s">
        <v>625</v>
      </c>
      <c r="B102">
        <v>29</v>
      </c>
      <c r="C102">
        <v>51</v>
      </c>
      <c r="D102">
        <v>11</v>
      </c>
      <c r="E102" s="1">
        <v>5679</v>
      </c>
      <c r="F102">
        <v>142</v>
      </c>
      <c r="G102" s="2">
        <f t="shared" si="2"/>
        <v>45096</v>
      </c>
      <c r="H102">
        <f t="shared" si="3"/>
        <v>4</v>
      </c>
    </row>
    <row r="103" spans="1:8" x14ac:dyDescent="0.3">
      <c r="A103" t="s">
        <v>624</v>
      </c>
      <c r="B103">
        <v>33</v>
      </c>
      <c r="C103">
        <v>53</v>
      </c>
      <c r="D103">
        <v>34</v>
      </c>
      <c r="E103" s="1">
        <v>5904</v>
      </c>
      <c r="F103">
        <v>134</v>
      </c>
      <c r="G103" s="2">
        <f t="shared" si="2"/>
        <v>45097</v>
      </c>
      <c r="H103">
        <f t="shared" si="3"/>
        <v>1</v>
      </c>
    </row>
    <row r="104" spans="1:8" x14ac:dyDescent="0.3">
      <c r="A104" t="s">
        <v>623</v>
      </c>
      <c r="B104">
        <v>93</v>
      </c>
      <c r="C104">
        <v>196</v>
      </c>
      <c r="D104">
        <v>169</v>
      </c>
      <c r="E104" s="1">
        <v>5922</v>
      </c>
      <c r="F104">
        <v>149</v>
      </c>
      <c r="G104" s="2">
        <f t="shared" si="2"/>
        <v>45098</v>
      </c>
      <c r="H104">
        <f t="shared" si="3"/>
        <v>1</v>
      </c>
    </row>
    <row r="105" spans="1:8" x14ac:dyDescent="0.3">
      <c r="A105" t="s">
        <v>622</v>
      </c>
      <c r="B105">
        <v>124</v>
      </c>
      <c r="C105">
        <v>234</v>
      </c>
      <c r="D105">
        <v>161</v>
      </c>
      <c r="E105" s="1">
        <v>5956</v>
      </c>
      <c r="F105">
        <v>207</v>
      </c>
      <c r="G105" s="2">
        <f t="shared" si="2"/>
        <v>45099</v>
      </c>
      <c r="H105">
        <f t="shared" si="3"/>
        <v>1</v>
      </c>
    </row>
    <row r="106" spans="1:8" x14ac:dyDescent="0.3">
      <c r="A106" t="s">
        <v>621</v>
      </c>
      <c r="B106">
        <v>92</v>
      </c>
      <c r="C106">
        <v>203</v>
      </c>
      <c r="D106">
        <v>173</v>
      </c>
      <c r="E106" s="1">
        <v>5766</v>
      </c>
      <c r="F106">
        <v>263</v>
      </c>
      <c r="G106" s="2">
        <f t="shared" si="2"/>
        <v>45102</v>
      </c>
      <c r="H106">
        <f t="shared" si="3"/>
        <v>3</v>
      </c>
    </row>
    <row r="107" spans="1:8" x14ac:dyDescent="0.3">
      <c r="A107" t="s">
        <v>620</v>
      </c>
      <c r="B107">
        <v>186</v>
      </c>
      <c r="C107">
        <v>259</v>
      </c>
      <c r="D107">
        <v>172</v>
      </c>
      <c r="E107" s="1">
        <v>5819</v>
      </c>
      <c r="F107">
        <v>174</v>
      </c>
      <c r="G107" s="2">
        <f t="shared" si="2"/>
        <v>45103</v>
      </c>
      <c r="H107">
        <f t="shared" si="3"/>
        <v>1</v>
      </c>
    </row>
    <row r="108" spans="1:8" x14ac:dyDescent="0.3">
      <c r="A108" t="s">
        <v>619</v>
      </c>
      <c r="B108">
        <v>154</v>
      </c>
      <c r="C108">
        <v>225</v>
      </c>
      <c r="D108">
        <v>220</v>
      </c>
      <c r="E108" s="1">
        <v>5917</v>
      </c>
      <c r="F108">
        <v>155</v>
      </c>
      <c r="G108" s="2">
        <f t="shared" si="2"/>
        <v>45104</v>
      </c>
      <c r="H108">
        <f t="shared" si="3"/>
        <v>1</v>
      </c>
    </row>
    <row r="109" spans="1:8" x14ac:dyDescent="0.3">
      <c r="A109" t="s">
        <v>618</v>
      </c>
      <c r="B109">
        <v>91</v>
      </c>
      <c r="C109">
        <v>199</v>
      </c>
      <c r="D109">
        <v>172</v>
      </c>
      <c r="E109" s="1">
        <v>5999</v>
      </c>
      <c r="F109">
        <v>174</v>
      </c>
      <c r="G109" s="2">
        <f t="shared" si="2"/>
        <v>45105</v>
      </c>
      <c r="H109">
        <f t="shared" si="3"/>
        <v>1</v>
      </c>
    </row>
    <row r="110" spans="1:8" x14ac:dyDescent="0.3">
      <c r="A110" t="s">
        <v>617</v>
      </c>
      <c r="B110">
        <v>81</v>
      </c>
      <c r="C110">
        <v>213</v>
      </c>
      <c r="D110">
        <v>153</v>
      </c>
      <c r="E110" s="1">
        <v>6058</v>
      </c>
      <c r="F110">
        <v>213</v>
      </c>
      <c r="G110" s="2">
        <f t="shared" si="2"/>
        <v>45106</v>
      </c>
      <c r="H110">
        <f t="shared" si="3"/>
        <v>1</v>
      </c>
    </row>
    <row r="111" spans="1:8" x14ac:dyDescent="0.3">
      <c r="A111" t="s">
        <v>616</v>
      </c>
      <c r="B111">
        <v>209</v>
      </c>
      <c r="C111">
        <v>285</v>
      </c>
      <c r="D111">
        <v>184</v>
      </c>
      <c r="E111" s="1">
        <v>5903</v>
      </c>
      <c r="F111">
        <v>309</v>
      </c>
      <c r="G111" s="2">
        <f t="shared" si="2"/>
        <v>45109</v>
      </c>
      <c r="H111">
        <f t="shared" si="3"/>
        <v>3</v>
      </c>
    </row>
    <row r="112" spans="1:8" x14ac:dyDescent="0.3">
      <c r="A112" t="s">
        <v>615</v>
      </c>
      <c r="B112">
        <v>184</v>
      </c>
      <c r="C112">
        <v>314</v>
      </c>
      <c r="D112">
        <v>217</v>
      </c>
      <c r="E112" s="1">
        <v>6127</v>
      </c>
      <c r="F112">
        <v>124</v>
      </c>
      <c r="G112" s="2">
        <f t="shared" si="2"/>
        <v>45111</v>
      </c>
      <c r="H112">
        <f t="shared" si="3"/>
        <v>2</v>
      </c>
    </row>
    <row r="113" spans="1:8" x14ac:dyDescent="0.3">
      <c r="A113" t="s">
        <v>614</v>
      </c>
      <c r="B113">
        <v>107</v>
      </c>
      <c r="C113">
        <v>215</v>
      </c>
      <c r="D113">
        <v>230</v>
      </c>
      <c r="E113" s="1">
        <v>6193</v>
      </c>
      <c r="F113">
        <v>167</v>
      </c>
      <c r="G113" s="2">
        <f t="shared" si="2"/>
        <v>45112</v>
      </c>
      <c r="H113">
        <f t="shared" si="3"/>
        <v>1</v>
      </c>
    </row>
    <row r="114" spans="1:8" x14ac:dyDescent="0.3">
      <c r="A114" t="s">
        <v>613</v>
      </c>
      <c r="B114">
        <v>101</v>
      </c>
      <c r="C114">
        <v>162</v>
      </c>
      <c r="D114">
        <v>178</v>
      </c>
      <c r="E114" s="1">
        <v>6239</v>
      </c>
      <c r="F114">
        <v>205</v>
      </c>
      <c r="G114" s="2">
        <f t="shared" si="2"/>
        <v>45113</v>
      </c>
      <c r="H114">
        <f t="shared" si="3"/>
        <v>1</v>
      </c>
    </row>
    <row r="115" spans="1:8" x14ac:dyDescent="0.3">
      <c r="A115" t="s">
        <v>612</v>
      </c>
      <c r="B115">
        <v>99</v>
      </c>
      <c r="C115">
        <v>190</v>
      </c>
      <c r="D115">
        <v>176</v>
      </c>
      <c r="E115" s="1">
        <v>6214</v>
      </c>
      <c r="F115">
        <v>196</v>
      </c>
      <c r="G115" s="2">
        <f t="shared" si="2"/>
        <v>45116</v>
      </c>
      <c r="H115">
        <f t="shared" si="3"/>
        <v>3</v>
      </c>
    </row>
    <row r="116" spans="1:8" x14ac:dyDescent="0.3">
      <c r="A116" t="s">
        <v>611</v>
      </c>
      <c r="B116">
        <v>167</v>
      </c>
      <c r="C116">
        <v>239</v>
      </c>
      <c r="D116">
        <v>166</v>
      </c>
      <c r="E116" s="1">
        <v>6346</v>
      </c>
      <c r="F116">
        <v>163</v>
      </c>
      <c r="G116" s="2">
        <f t="shared" si="2"/>
        <v>45117</v>
      </c>
      <c r="H116">
        <f t="shared" si="3"/>
        <v>1</v>
      </c>
    </row>
    <row r="117" spans="1:8" x14ac:dyDescent="0.3">
      <c r="A117" t="s">
        <v>610</v>
      </c>
      <c r="B117">
        <v>115</v>
      </c>
      <c r="C117">
        <v>216</v>
      </c>
      <c r="D117">
        <v>169</v>
      </c>
      <c r="E117" s="1">
        <v>6498</v>
      </c>
      <c r="F117">
        <v>143</v>
      </c>
      <c r="G117" s="2">
        <f t="shared" si="2"/>
        <v>45118</v>
      </c>
      <c r="H117">
        <f t="shared" si="3"/>
        <v>1</v>
      </c>
    </row>
    <row r="118" spans="1:8" x14ac:dyDescent="0.3">
      <c r="A118" t="s">
        <v>609</v>
      </c>
      <c r="B118">
        <v>84</v>
      </c>
      <c r="C118">
        <v>158</v>
      </c>
      <c r="D118">
        <v>193</v>
      </c>
      <c r="E118" s="1">
        <v>6521</v>
      </c>
      <c r="F118">
        <v>210</v>
      </c>
      <c r="G118" s="2">
        <f t="shared" si="2"/>
        <v>45119</v>
      </c>
      <c r="H118">
        <f t="shared" si="3"/>
        <v>1</v>
      </c>
    </row>
    <row r="119" spans="1:8" x14ac:dyDescent="0.3">
      <c r="A119" t="s">
        <v>608</v>
      </c>
      <c r="B119">
        <v>130</v>
      </c>
      <c r="C119">
        <v>227</v>
      </c>
      <c r="D119">
        <v>192</v>
      </c>
      <c r="E119" s="1">
        <v>6604</v>
      </c>
      <c r="F119">
        <v>226</v>
      </c>
      <c r="G119" s="2">
        <f t="shared" si="2"/>
        <v>45120</v>
      </c>
      <c r="H119">
        <f t="shared" si="3"/>
        <v>1</v>
      </c>
    </row>
    <row r="120" spans="1:8" x14ac:dyDescent="0.3">
      <c r="A120" t="s">
        <v>607</v>
      </c>
      <c r="B120">
        <v>88</v>
      </c>
      <c r="C120">
        <v>214</v>
      </c>
      <c r="D120">
        <v>160</v>
      </c>
      <c r="E120" s="1">
        <v>6468</v>
      </c>
      <c r="F120">
        <v>218</v>
      </c>
      <c r="G120" s="2">
        <f t="shared" si="2"/>
        <v>45123</v>
      </c>
      <c r="H120">
        <f t="shared" si="3"/>
        <v>3</v>
      </c>
    </row>
    <row r="121" spans="1:8" x14ac:dyDescent="0.3">
      <c r="A121" t="s">
        <v>606</v>
      </c>
      <c r="B121">
        <v>113</v>
      </c>
      <c r="C121">
        <v>208</v>
      </c>
      <c r="D121">
        <v>159</v>
      </c>
      <c r="E121" s="1">
        <v>6632</v>
      </c>
      <c r="F121">
        <v>160</v>
      </c>
      <c r="G121" s="2">
        <f t="shared" si="2"/>
        <v>45124</v>
      </c>
      <c r="H121">
        <f t="shared" si="3"/>
        <v>1</v>
      </c>
    </row>
    <row r="122" spans="1:8" x14ac:dyDescent="0.3">
      <c r="A122" t="s">
        <v>605</v>
      </c>
      <c r="B122">
        <v>174</v>
      </c>
      <c r="C122">
        <v>285</v>
      </c>
      <c r="D122">
        <v>150</v>
      </c>
      <c r="E122" s="1">
        <v>6874</v>
      </c>
      <c r="F122">
        <v>181</v>
      </c>
      <c r="G122" s="2">
        <f t="shared" si="2"/>
        <v>45125</v>
      </c>
      <c r="H122">
        <f t="shared" si="3"/>
        <v>1</v>
      </c>
    </row>
    <row r="123" spans="1:8" x14ac:dyDescent="0.3">
      <c r="A123" t="s">
        <v>604</v>
      </c>
      <c r="B123">
        <v>104</v>
      </c>
      <c r="C123">
        <v>230</v>
      </c>
      <c r="D123">
        <v>206</v>
      </c>
      <c r="E123" s="1">
        <v>7001</v>
      </c>
      <c r="F123">
        <v>226</v>
      </c>
      <c r="G123" s="2">
        <f t="shared" si="2"/>
        <v>45126</v>
      </c>
      <c r="H123">
        <f t="shared" si="3"/>
        <v>1</v>
      </c>
    </row>
    <row r="124" spans="1:8" x14ac:dyDescent="0.3">
      <c r="A124" t="s">
        <v>603</v>
      </c>
      <c r="B124">
        <v>147</v>
      </c>
      <c r="C124">
        <v>276</v>
      </c>
      <c r="D124">
        <v>214</v>
      </c>
      <c r="E124" s="1">
        <v>7116</v>
      </c>
      <c r="F124">
        <v>281</v>
      </c>
      <c r="G124" s="2">
        <f t="shared" si="2"/>
        <v>45127</v>
      </c>
      <c r="H124">
        <f t="shared" si="3"/>
        <v>1</v>
      </c>
    </row>
    <row r="125" spans="1:8" x14ac:dyDescent="0.3">
      <c r="A125" t="s">
        <v>602</v>
      </c>
      <c r="B125">
        <v>108</v>
      </c>
      <c r="C125">
        <v>220</v>
      </c>
      <c r="D125">
        <v>213</v>
      </c>
      <c r="E125" s="1">
        <v>7052</v>
      </c>
      <c r="F125">
        <v>276</v>
      </c>
      <c r="G125" s="2">
        <f t="shared" si="2"/>
        <v>45130</v>
      </c>
      <c r="H125">
        <f t="shared" si="3"/>
        <v>3</v>
      </c>
    </row>
    <row r="126" spans="1:8" x14ac:dyDescent="0.3">
      <c r="A126" t="s">
        <v>601</v>
      </c>
      <c r="B126">
        <v>180</v>
      </c>
      <c r="C126">
        <v>280</v>
      </c>
      <c r="D126">
        <v>146</v>
      </c>
      <c r="E126" s="1">
        <v>7220</v>
      </c>
      <c r="F126">
        <v>187</v>
      </c>
      <c r="G126" s="2">
        <f t="shared" si="2"/>
        <v>45131</v>
      </c>
      <c r="H126">
        <f t="shared" si="3"/>
        <v>1</v>
      </c>
    </row>
    <row r="127" spans="1:8" x14ac:dyDescent="0.3">
      <c r="A127" t="s">
        <v>600</v>
      </c>
      <c r="B127">
        <v>134</v>
      </c>
      <c r="C127">
        <v>294</v>
      </c>
      <c r="D127">
        <v>186</v>
      </c>
      <c r="E127" s="1">
        <v>7510</v>
      </c>
      <c r="F127">
        <v>136</v>
      </c>
      <c r="G127" s="2">
        <f t="shared" si="2"/>
        <v>45132</v>
      </c>
      <c r="H127">
        <f t="shared" si="3"/>
        <v>1</v>
      </c>
    </row>
    <row r="128" spans="1:8" x14ac:dyDescent="0.3">
      <c r="A128" t="s">
        <v>599</v>
      </c>
      <c r="B128">
        <v>202</v>
      </c>
      <c r="C128">
        <v>313</v>
      </c>
      <c r="D128">
        <v>158</v>
      </c>
      <c r="E128" s="1">
        <v>7647</v>
      </c>
      <c r="F128">
        <v>215</v>
      </c>
      <c r="G128" s="2">
        <f t="shared" si="2"/>
        <v>45133</v>
      </c>
      <c r="H128">
        <f t="shared" si="3"/>
        <v>1</v>
      </c>
    </row>
    <row r="129" spans="1:8" x14ac:dyDescent="0.3">
      <c r="A129" t="s">
        <v>598</v>
      </c>
      <c r="B129">
        <v>110</v>
      </c>
      <c r="C129">
        <v>272</v>
      </c>
      <c r="D129">
        <v>193</v>
      </c>
      <c r="E129" s="1">
        <v>7754</v>
      </c>
      <c r="F129">
        <v>259</v>
      </c>
      <c r="G129" s="2">
        <f t="shared" si="2"/>
        <v>45134</v>
      </c>
      <c r="H129">
        <f t="shared" si="3"/>
        <v>1</v>
      </c>
    </row>
    <row r="130" spans="1:8" x14ac:dyDescent="0.3">
      <c r="A130" t="s">
        <v>597</v>
      </c>
      <c r="B130">
        <v>166</v>
      </c>
      <c r="C130">
        <v>277</v>
      </c>
      <c r="D130">
        <v>229</v>
      </c>
      <c r="E130" s="1">
        <v>7671</v>
      </c>
      <c r="F130">
        <v>305</v>
      </c>
      <c r="G130" s="2">
        <f t="shared" ref="G130:G193" si="4">DATE(VALUE(RIGHT(A130,4)),MONTH(DATEVALUE(LEFT(A130,FIND(" ",A130)-1)&amp;"1")),VALUE(MID(A130,FIND(" ",A130)+1,FIND(",",A130)-FIND(" ",A130)-1)))</f>
        <v>45137</v>
      </c>
      <c r="H130">
        <f t="shared" si="3"/>
        <v>3</v>
      </c>
    </row>
    <row r="131" spans="1:8" x14ac:dyDescent="0.3">
      <c r="A131" t="s">
        <v>596</v>
      </c>
      <c r="B131">
        <v>136</v>
      </c>
      <c r="C131">
        <v>276</v>
      </c>
      <c r="D131">
        <v>178</v>
      </c>
      <c r="E131" s="1">
        <v>7800</v>
      </c>
      <c r="F131">
        <v>220</v>
      </c>
      <c r="G131" s="2">
        <f t="shared" si="4"/>
        <v>45138</v>
      </c>
      <c r="H131">
        <f t="shared" si="3"/>
        <v>1</v>
      </c>
    </row>
    <row r="132" spans="1:8" x14ac:dyDescent="0.3">
      <c r="A132" t="s">
        <v>595</v>
      </c>
      <c r="B132">
        <v>87</v>
      </c>
      <c r="C132">
        <v>246</v>
      </c>
      <c r="D132">
        <v>173</v>
      </c>
      <c r="E132" s="1">
        <v>8103</v>
      </c>
      <c r="F132">
        <v>168</v>
      </c>
      <c r="G132" s="2">
        <f t="shared" si="4"/>
        <v>45139</v>
      </c>
      <c r="H132">
        <f t="shared" ref="H132:H195" si="5">G132-G131</f>
        <v>1</v>
      </c>
    </row>
    <row r="133" spans="1:8" x14ac:dyDescent="0.3">
      <c r="A133" t="s">
        <v>594</v>
      </c>
      <c r="B133">
        <v>84</v>
      </c>
      <c r="C133">
        <v>171</v>
      </c>
      <c r="D133">
        <v>157</v>
      </c>
      <c r="E133" s="1">
        <v>8261</v>
      </c>
      <c r="F133">
        <v>271</v>
      </c>
      <c r="G133" s="2">
        <f t="shared" si="4"/>
        <v>45140</v>
      </c>
      <c r="H133">
        <f t="shared" si="5"/>
        <v>1</v>
      </c>
    </row>
    <row r="134" spans="1:8" x14ac:dyDescent="0.3">
      <c r="A134" t="s">
        <v>593</v>
      </c>
      <c r="B134">
        <v>167</v>
      </c>
      <c r="C134">
        <v>209</v>
      </c>
      <c r="D134">
        <v>157</v>
      </c>
      <c r="E134" s="1">
        <v>8294</v>
      </c>
      <c r="F134">
        <v>339</v>
      </c>
      <c r="G134" s="2">
        <f t="shared" si="4"/>
        <v>45141</v>
      </c>
      <c r="H134">
        <f t="shared" si="5"/>
        <v>1</v>
      </c>
    </row>
    <row r="135" spans="1:8" x14ac:dyDescent="0.3">
      <c r="A135" t="s">
        <v>592</v>
      </c>
      <c r="B135">
        <v>109</v>
      </c>
      <c r="C135">
        <v>245</v>
      </c>
      <c r="D135">
        <v>159</v>
      </c>
      <c r="E135" s="1">
        <v>8298</v>
      </c>
      <c r="F135">
        <v>322</v>
      </c>
      <c r="G135" s="2">
        <f t="shared" si="4"/>
        <v>45144</v>
      </c>
      <c r="H135">
        <f t="shared" si="5"/>
        <v>3</v>
      </c>
    </row>
    <row r="136" spans="1:8" x14ac:dyDescent="0.3">
      <c r="A136" t="s">
        <v>591</v>
      </c>
      <c r="B136">
        <v>156</v>
      </c>
      <c r="C136">
        <v>256</v>
      </c>
      <c r="D136">
        <v>176</v>
      </c>
      <c r="E136" s="1">
        <v>8493</v>
      </c>
      <c r="F136">
        <v>202</v>
      </c>
      <c r="G136" s="2">
        <f t="shared" si="4"/>
        <v>45145</v>
      </c>
      <c r="H136">
        <f t="shared" si="5"/>
        <v>1</v>
      </c>
    </row>
    <row r="137" spans="1:8" x14ac:dyDescent="0.3">
      <c r="A137" t="s">
        <v>590</v>
      </c>
      <c r="B137">
        <v>125</v>
      </c>
      <c r="C137">
        <v>232</v>
      </c>
      <c r="D137">
        <v>192</v>
      </c>
      <c r="E137" s="1">
        <v>8725</v>
      </c>
      <c r="F137">
        <v>207</v>
      </c>
      <c r="G137" s="2">
        <f t="shared" si="4"/>
        <v>45146</v>
      </c>
      <c r="H137">
        <f t="shared" si="5"/>
        <v>1</v>
      </c>
    </row>
    <row r="138" spans="1:8" x14ac:dyDescent="0.3">
      <c r="A138" t="s">
        <v>589</v>
      </c>
      <c r="B138">
        <v>118</v>
      </c>
      <c r="C138">
        <v>139</v>
      </c>
      <c r="D138">
        <v>168</v>
      </c>
      <c r="E138" s="1">
        <v>8888</v>
      </c>
      <c r="F138">
        <v>251</v>
      </c>
      <c r="G138" s="2">
        <f t="shared" si="4"/>
        <v>45147</v>
      </c>
      <c r="H138">
        <f t="shared" si="5"/>
        <v>1</v>
      </c>
    </row>
    <row r="139" spans="1:8" x14ac:dyDescent="0.3">
      <c r="A139" t="s">
        <v>588</v>
      </c>
      <c r="B139">
        <v>142</v>
      </c>
      <c r="C139">
        <v>235</v>
      </c>
      <c r="D139">
        <v>139</v>
      </c>
      <c r="E139" s="1">
        <v>8914</v>
      </c>
      <c r="F139">
        <v>353</v>
      </c>
      <c r="G139" s="2">
        <f t="shared" si="4"/>
        <v>45148</v>
      </c>
      <c r="H139">
        <f t="shared" si="5"/>
        <v>1</v>
      </c>
    </row>
    <row r="140" spans="1:8" x14ac:dyDescent="0.3">
      <c r="A140" t="s">
        <v>587</v>
      </c>
      <c r="B140">
        <v>148</v>
      </c>
      <c r="C140">
        <v>245</v>
      </c>
      <c r="D140">
        <v>175</v>
      </c>
      <c r="E140" s="1">
        <v>9634</v>
      </c>
      <c r="F140">
        <v>288</v>
      </c>
      <c r="G140" s="2">
        <f t="shared" si="4"/>
        <v>45154</v>
      </c>
      <c r="H140">
        <f t="shared" si="5"/>
        <v>6</v>
      </c>
    </row>
    <row r="141" spans="1:8" x14ac:dyDescent="0.3">
      <c r="A141" t="s">
        <v>586</v>
      </c>
      <c r="B141">
        <v>119</v>
      </c>
      <c r="C141">
        <v>219</v>
      </c>
      <c r="D141">
        <v>210</v>
      </c>
      <c r="E141" s="1">
        <v>9694</v>
      </c>
      <c r="F141">
        <v>407</v>
      </c>
      <c r="G141" s="2">
        <f t="shared" si="4"/>
        <v>45155</v>
      </c>
      <c r="H141">
        <f t="shared" si="5"/>
        <v>1</v>
      </c>
    </row>
    <row r="142" spans="1:8" x14ac:dyDescent="0.3">
      <c r="A142" t="s">
        <v>585</v>
      </c>
      <c r="B142">
        <v>105</v>
      </c>
      <c r="C142">
        <v>210</v>
      </c>
      <c r="D142">
        <v>149</v>
      </c>
      <c r="E142" s="1">
        <v>9483</v>
      </c>
      <c r="F142">
        <v>390</v>
      </c>
      <c r="G142" s="2">
        <f t="shared" si="4"/>
        <v>45158</v>
      </c>
      <c r="H142">
        <f t="shared" si="5"/>
        <v>3</v>
      </c>
    </row>
    <row r="143" spans="1:8" x14ac:dyDescent="0.3">
      <c r="A143" t="s">
        <v>584</v>
      </c>
      <c r="B143">
        <v>143</v>
      </c>
      <c r="C143">
        <v>203</v>
      </c>
      <c r="D143">
        <v>163</v>
      </c>
      <c r="E143" s="1">
        <v>9668</v>
      </c>
      <c r="F143">
        <v>281</v>
      </c>
      <c r="G143" s="2">
        <f t="shared" si="4"/>
        <v>45159</v>
      </c>
      <c r="H143">
        <f t="shared" si="5"/>
        <v>1</v>
      </c>
    </row>
    <row r="144" spans="1:8" x14ac:dyDescent="0.3">
      <c r="A144" t="s">
        <v>583</v>
      </c>
      <c r="B144">
        <v>119</v>
      </c>
      <c r="C144">
        <v>209</v>
      </c>
      <c r="D144">
        <v>152</v>
      </c>
      <c r="E144" s="1">
        <v>9921</v>
      </c>
      <c r="F144">
        <v>230</v>
      </c>
      <c r="G144" s="2">
        <f t="shared" si="4"/>
        <v>45160</v>
      </c>
      <c r="H144">
        <f t="shared" si="5"/>
        <v>1</v>
      </c>
    </row>
    <row r="145" spans="1:8" x14ac:dyDescent="0.3">
      <c r="A145" t="s">
        <v>582</v>
      </c>
      <c r="B145">
        <v>155</v>
      </c>
      <c r="C145">
        <v>212</v>
      </c>
      <c r="D145">
        <v>181</v>
      </c>
      <c r="E145" s="1">
        <v>10071</v>
      </c>
      <c r="F145">
        <v>285</v>
      </c>
      <c r="G145" s="2">
        <f t="shared" si="4"/>
        <v>45161</v>
      </c>
      <c r="H145">
        <f t="shared" si="5"/>
        <v>1</v>
      </c>
    </row>
    <row r="146" spans="1:8" x14ac:dyDescent="0.3">
      <c r="A146" t="s">
        <v>581</v>
      </c>
      <c r="B146">
        <v>109</v>
      </c>
      <c r="C146">
        <v>214</v>
      </c>
      <c r="D146">
        <v>173</v>
      </c>
      <c r="E146" s="1">
        <v>10026</v>
      </c>
      <c r="F146">
        <v>443</v>
      </c>
      <c r="G146" s="2">
        <f t="shared" si="4"/>
        <v>45162</v>
      </c>
      <c r="H146">
        <f t="shared" si="5"/>
        <v>1</v>
      </c>
    </row>
    <row r="147" spans="1:8" x14ac:dyDescent="0.3">
      <c r="A147" t="s">
        <v>580</v>
      </c>
      <c r="B147">
        <v>191</v>
      </c>
      <c r="C147">
        <v>283</v>
      </c>
      <c r="D147">
        <v>192</v>
      </c>
      <c r="E147" s="1">
        <v>9873</v>
      </c>
      <c r="F147">
        <v>488</v>
      </c>
      <c r="G147" s="2">
        <f t="shared" si="4"/>
        <v>45165</v>
      </c>
      <c r="H147">
        <f t="shared" si="5"/>
        <v>3</v>
      </c>
    </row>
    <row r="148" spans="1:8" x14ac:dyDescent="0.3">
      <c r="A148" t="s">
        <v>579</v>
      </c>
      <c r="B148">
        <v>170</v>
      </c>
      <c r="C148">
        <v>297</v>
      </c>
      <c r="D148">
        <v>196</v>
      </c>
      <c r="E148" s="1">
        <v>10012</v>
      </c>
      <c r="F148">
        <v>388</v>
      </c>
      <c r="G148" s="2">
        <f t="shared" si="4"/>
        <v>45166</v>
      </c>
      <c r="H148">
        <f t="shared" si="5"/>
        <v>1</v>
      </c>
    </row>
    <row r="149" spans="1:8" x14ac:dyDescent="0.3">
      <c r="A149" t="s">
        <v>578</v>
      </c>
      <c r="B149">
        <v>152</v>
      </c>
      <c r="C149">
        <v>272</v>
      </c>
      <c r="D149">
        <v>214</v>
      </c>
      <c r="E149" s="1">
        <v>10180</v>
      </c>
      <c r="F149">
        <v>286</v>
      </c>
      <c r="G149" s="2">
        <f t="shared" si="4"/>
        <v>45167</v>
      </c>
      <c r="H149">
        <f t="shared" si="5"/>
        <v>1</v>
      </c>
    </row>
    <row r="150" spans="1:8" x14ac:dyDescent="0.3">
      <c r="A150" t="s">
        <v>577</v>
      </c>
      <c r="B150">
        <v>239</v>
      </c>
      <c r="C150">
        <v>367</v>
      </c>
      <c r="D150">
        <v>224</v>
      </c>
      <c r="E150" s="1">
        <v>10280</v>
      </c>
      <c r="F150">
        <v>366</v>
      </c>
      <c r="G150" s="2">
        <f t="shared" si="4"/>
        <v>45168</v>
      </c>
      <c r="H150">
        <f t="shared" si="5"/>
        <v>1</v>
      </c>
    </row>
    <row r="151" spans="1:8" x14ac:dyDescent="0.3">
      <c r="A151" t="s">
        <v>576</v>
      </c>
      <c r="B151">
        <v>113</v>
      </c>
      <c r="C151">
        <v>280</v>
      </c>
      <c r="D151">
        <v>237</v>
      </c>
      <c r="E151" s="1">
        <v>10140</v>
      </c>
      <c r="F151">
        <v>505</v>
      </c>
      <c r="G151" s="2">
        <f t="shared" si="4"/>
        <v>45169</v>
      </c>
      <c r="H151">
        <f t="shared" si="5"/>
        <v>1</v>
      </c>
    </row>
    <row r="152" spans="1:8" x14ac:dyDescent="0.3">
      <c r="A152" t="s">
        <v>575</v>
      </c>
      <c r="B152">
        <v>196</v>
      </c>
      <c r="C152">
        <v>306</v>
      </c>
      <c r="D152">
        <v>187</v>
      </c>
      <c r="E152" s="1">
        <v>9988</v>
      </c>
      <c r="F152">
        <v>293</v>
      </c>
      <c r="G152" s="2">
        <f t="shared" si="4"/>
        <v>45173</v>
      </c>
      <c r="H152">
        <f t="shared" si="5"/>
        <v>4</v>
      </c>
    </row>
    <row r="153" spans="1:8" x14ac:dyDescent="0.3">
      <c r="A153" t="s">
        <v>574</v>
      </c>
      <c r="B153">
        <v>236</v>
      </c>
      <c r="C153">
        <v>330</v>
      </c>
      <c r="D153">
        <v>222</v>
      </c>
      <c r="E153" s="1">
        <v>10142</v>
      </c>
      <c r="F153">
        <v>243</v>
      </c>
      <c r="G153" s="2">
        <f t="shared" si="4"/>
        <v>45174</v>
      </c>
      <c r="H153">
        <f t="shared" si="5"/>
        <v>1</v>
      </c>
    </row>
    <row r="154" spans="1:8" x14ac:dyDescent="0.3">
      <c r="A154" t="s">
        <v>573</v>
      </c>
      <c r="B154">
        <v>81</v>
      </c>
      <c r="C154">
        <v>230</v>
      </c>
      <c r="D154">
        <v>242</v>
      </c>
      <c r="E154" s="1">
        <v>10356</v>
      </c>
      <c r="F154">
        <v>291</v>
      </c>
      <c r="G154" s="2">
        <f t="shared" si="4"/>
        <v>45175</v>
      </c>
      <c r="H154">
        <f t="shared" si="5"/>
        <v>1</v>
      </c>
    </row>
    <row r="155" spans="1:8" x14ac:dyDescent="0.3">
      <c r="A155" t="s">
        <v>572</v>
      </c>
      <c r="B155">
        <v>118</v>
      </c>
      <c r="C155">
        <v>245</v>
      </c>
      <c r="D155">
        <v>160</v>
      </c>
      <c r="E155" s="1">
        <v>10419</v>
      </c>
      <c r="F155">
        <v>398</v>
      </c>
      <c r="G155" s="2">
        <f t="shared" si="4"/>
        <v>45176</v>
      </c>
      <c r="H155">
        <f t="shared" si="5"/>
        <v>1</v>
      </c>
    </row>
    <row r="156" spans="1:8" x14ac:dyDescent="0.3">
      <c r="A156" t="s">
        <v>571</v>
      </c>
      <c r="B156">
        <v>218</v>
      </c>
      <c r="C156">
        <v>283</v>
      </c>
      <c r="D156">
        <v>208</v>
      </c>
      <c r="E156" s="1">
        <v>10282</v>
      </c>
      <c r="F156">
        <v>382</v>
      </c>
      <c r="G156" s="2">
        <f t="shared" si="4"/>
        <v>45179</v>
      </c>
      <c r="H156">
        <f t="shared" si="5"/>
        <v>3</v>
      </c>
    </row>
    <row r="157" spans="1:8" x14ac:dyDescent="0.3">
      <c r="A157" t="s">
        <v>570</v>
      </c>
      <c r="B157">
        <v>132</v>
      </c>
      <c r="C157">
        <v>243</v>
      </c>
      <c r="D157">
        <v>183</v>
      </c>
      <c r="E157" s="1">
        <v>10492</v>
      </c>
      <c r="F157">
        <v>277</v>
      </c>
      <c r="G157" s="2">
        <f t="shared" si="4"/>
        <v>45180</v>
      </c>
      <c r="H157">
        <f t="shared" si="5"/>
        <v>1</v>
      </c>
    </row>
    <row r="158" spans="1:8" x14ac:dyDescent="0.3">
      <c r="A158" t="s">
        <v>569</v>
      </c>
      <c r="B158">
        <v>224</v>
      </c>
      <c r="C158">
        <v>315</v>
      </c>
      <c r="D158">
        <v>152</v>
      </c>
      <c r="E158" s="1">
        <v>10649</v>
      </c>
      <c r="F158">
        <v>316</v>
      </c>
      <c r="G158" s="2">
        <f t="shared" si="4"/>
        <v>45181</v>
      </c>
      <c r="H158">
        <f t="shared" si="5"/>
        <v>1</v>
      </c>
    </row>
    <row r="159" spans="1:8" x14ac:dyDescent="0.3">
      <c r="A159" t="s">
        <v>568</v>
      </c>
      <c r="B159">
        <v>167</v>
      </c>
      <c r="C159">
        <v>326</v>
      </c>
      <c r="D159">
        <v>213</v>
      </c>
      <c r="E159" s="1">
        <v>10678</v>
      </c>
      <c r="F159">
        <v>343</v>
      </c>
      <c r="G159" s="2">
        <f t="shared" si="4"/>
        <v>45182</v>
      </c>
      <c r="H159">
        <f t="shared" si="5"/>
        <v>1</v>
      </c>
    </row>
    <row r="160" spans="1:8" x14ac:dyDescent="0.3">
      <c r="A160" t="s">
        <v>567</v>
      </c>
      <c r="B160">
        <v>209</v>
      </c>
      <c r="C160">
        <v>353</v>
      </c>
      <c r="D160">
        <v>232</v>
      </c>
      <c r="E160" s="1">
        <v>10837</v>
      </c>
      <c r="F160">
        <v>414</v>
      </c>
      <c r="G160" s="2">
        <f t="shared" si="4"/>
        <v>45183</v>
      </c>
      <c r="H160">
        <f t="shared" si="5"/>
        <v>1</v>
      </c>
    </row>
    <row r="161" spans="1:8" x14ac:dyDescent="0.3">
      <c r="A161" t="s">
        <v>566</v>
      </c>
      <c r="B161">
        <v>153</v>
      </c>
      <c r="C161">
        <v>253</v>
      </c>
      <c r="D161">
        <v>286</v>
      </c>
      <c r="E161" s="1">
        <v>10799</v>
      </c>
      <c r="F161">
        <v>427</v>
      </c>
      <c r="G161" s="2">
        <f t="shared" si="4"/>
        <v>45186</v>
      </c>
      <c r="H161">
        <f t="shared" si="5"/>
        <v>3</v>
      </c>
    </row>
    <row r="162" spans="1:8" x14ac:dyDescent="0.3">
      <c r="A162" t="s">
        <v>565</v>
      </c>
      <c r="B162">
        <v>180</v>
      </c>
      <c r="C162">
        <v>337</v>
      </c>
      <c r="D162">
        <v>219</v>
      </c>
      <c r="E162" s="1">
        <v>10892</v>
      </c>
      <c r="F162">
        <v>313</v>
      </c>
      <c r="G162" s="2">
        <f t="shared" si="4"/>
        <v>45187</v>
      </c>
      <c r="H162">
        <f t="shared" si="5"/>
        <v>1</v>
      </c>
    </row>
    <row r="163" spans="1:8" x14ac:dyDescent="0.3">
      <c r="A163" t="s">
        <v>564</v>
      </c>
      <c r="B163">
        <v>133</v>
      </c>
      <c r="C163">
        <v>287</v>
      </c>
      <c r="D163">
        <v>189</v>
      </c>
      <c r="E163" s="1">
        <v>11095</v>
      </c>
      <c r="F163">
        <v>260</v>
      </c>
      <c r="G163" s="2">
        <f t="shared" si="4"/>
        <v>45188</v>
      </c>
      <c r="H163">
        <f t="shared" si="5"/>
        <v>1</v>
      </c>
    </row>
    <row r="164" spans="1:8" x14ac:dyDescent="0.3">
      <c r="A164" t="s">
        <v>563</v>
      </c>
      <c r="B164">
        <v>187</v>
      </c>
      <c r="C164">
        <v>310</v>
      </c>
      <c r="D164">
        <v>247</v>
      </c>
      <c r="E164" s="1">
        <v>11064</v>
      </c>
      <c r="F164">
        <v>364</v>
      </c>
      <c r="G164" s="2">
        <f t="shared" si="4"/>
        <v>45189</v>
      </c>
      <c r="H164">
        <f t="shared" si="5"/>
        <v>1</v>
      </c>
    </row>
    <row r="165" spans="1:8" x14ac:dyDescent="0.3">
      <c r="A165" t="s">
        <v>562</v>
      </c>
      <c r="B165">
        <v>168</v>
      </c>
      <c r="C165">
        <v>285</v>
      </c>
      <c r="D165">
        <v>210</v>
      </c>
      <c r="E165" s="1">
        <v>11067</v>
      </c>
      <c r="F165">
        <v>428</v>
      </c>
      <c r="G165" s="2">
        <f t="shared" si="4"/>
        <v>45190</v>
      </c>
      <c r="H165">
        <f t="shared" si="5"/>
        <v>1</v>
      </c>
    </row>
    <row r="166" spans="1:8" x14ac:dyDescent="0.3">
      <c r="A166" t="s">
        <v>561</v>
      </c>
      <c r="B166">
        <v>269</v>
      </c>
      <c r="C166">
        <v>412</v>
      </c>
      <c r="D166">
        <v>204</v>
      </c>
      <c r="E166" s="1">
        <v>10744</v>
      </c>
      <c r="F166">
        <v>403</v>
      </c>
      <c r="G166" s="2">
        <f t="shared" si="4"/>
        <v>45193</v>
      </c>
      <c r="H166">
        <f t="shared" si="5"/>
        <v>3</v>
      </c>
    </row>
    <row r="167" spans="1:8" x14ac:dyDescent="0.3">
      <c r="A167" t="s">
        <v>560</v>
      </c>
      <c r="B167">
        <v>100</v>
      </c>
      <c r="C167">
        <v>255</v>
      </c>
      <c r="D167">
        <v>236</v>
      </c>
      <c r="E167" s="1">
        <v>10842</v>
      </c>
      <c r="F167">
        <v>284</v>
      </c>
      <c r="G167" s="2">
        <f t="shared" si="4"/>
        <v>45194</v>
      </c>
      <c r="H167">
        <f t="shared" si="5"/>
        <v>1</v>
      </c>
    </row>
    <row r="168" spans="1:8" x14ac:dyDescent="0.3">
      <c r="A168" t="s">
        <v>559</v>
      </c>
      <c r="B168">
        <v>205</v>
      </c>
      <c r="C168">
        <v>294</v>
      </c>
      <c r="D168">
        <v>177</v>
      </c>
      <c r="E168" s="1">
        <v>10978</v>
      </c>
      <c r="F168">
        <v>332</v>
      </c>
      <c r="G168" s="2">
        <f t="shared" si="4"/>
        <v>45195</v>
      </c>
      <c r="H168">
        <f t="shared" si="5"/>
        <v>1</v>
      </c>
    </row>
    <row r="169" spans="1:8" x14ac:dyDescent="0.3">
      <c r="A169" t="s">
        <v>558</v>
      </c>
      <c r="B169">
        <v>161</v>
      </c>
      <c r="C169">
        <v>304</v>
      </c>
      <c r="D169">
        <v>211</v>
      </c>
      <c r="E169" s="1">
        <v>11017</v>
      </c>
      <c r="F169">
        <v>331</v>
      </c>
      <c r="G169" s="2">
        <f t="shared" si="4"/>
        <v>45196</v>
      </c>
      <c r="H169">
        <f t="shared" si="5"/>
        <v>1</v>
      </c>
    </row>
    <row r="170" spans="1:8" x14ac:dyDescent="0.3">
      <c r="A170" t="s">
        <v>557</v>
      </c>
      <c r="B170">
        <v>57</v>
      </c>
      <c r="C170">
        <v>162</v>
      </c>
      <c r="D170">
        <v>193</v>
      </c>
      <c r="E170" s="1">
        <v>10984</v>
      </c>
      <c r="F170">
        <v>447</v>
      </c>
      <c r="G170" s="2">
        <f t="shared" si="4"/>
        <v>45197</v>
      </c>
      <c r="H170">
        <f t="shared" si="5"/>
        <v>1</v>
      </c>
    </row>
    <row r="171" spans="1:8" x14ac:dyDescent="0.3">
      <c r="A171" t="s">
        <v>556</v>
      </c>
      <c r="B171">
        <v>80</v>
      </c>
      <c r="C171">
        <v>122</v>
      </c>
      <c r="D171">
        <v>152</v>
      </c>
      <c r="E171" s="1">
        <v>10598</v>
      </c>
      <c r="F171">
        <v>493</v>
      </c>
      <c r="G171" s="2">
        <f t="shared" si="4"/>
        <v>45200</v>
      </c>
      <c r="H171">
        <f t="shared" si="5"/>
        <v>3</v>
      </c>
    </row>
    <row r="172" spans="1:8" x14ac:dyDescent="0.3">
      <c r="A172" t="s">
        <v>555</v>
      </c>
      <c r="B172">
        <v>107</v>
      </c>
      <c r="C172">
        <v>170</v>
      </c>
      <c r="D172">
        <v>133</v>
      </c>
      <c r="E172" s="1">
        <v>10724</v>
      </c>
      <c r="F172">
        <v>284</v>
      </c>
      <c r="G172" s="2">
        <f t="shared" si="4"/>
        <v>45201</v>
      </c>
      <c r="H172">
        <f t="shared" si="5"/>
        <v>1</v>
      </c>
    </row>
    <row r="173" spans="1:8" x14ac:dyDescent="0.3">
      <c r="A173" t="s">
        <v>554</v>
      </c>
      <c r="B173">
        <v>99</v>
      </c>
      <c r="C173">
        <v>156</v>
      </c>
      <c r="D173">
        <v>139</v>
      </c>
      <c r="E173" s="1">
        <v>10818</v>
      </c>
      <c r="F173">
        <v>287</v>
      </c>
      <c r="G173" s="2">
        <f t="shared" si="4"/>
        <v>45202</v>
      </c>
      <c r="H173">
        <f t="shared" si="5"/>
        <v>1</v>
      </c>
    </row>
    <row r="174" spans="1:8" x14ac:dyDescent="0.3">
      <c r="A174" t="s">
        <v>553</v>
      </c>
      <c r="B174">
        <v>25</v>
      </c>
      <c r="C174">
        <v>66</v>
      </c>
      <c r="D174">
        <v>94</v>
      </c>
      <c r="E174" s="1">
        <v>10963</v>
      </c>
      <c r="F174">
        <v>330</v>
      </c>
      <c r="G174" s="2">
        <f t="shared" si="4"/>
        <v>45203</v>
      </c>
      <c r="H174">
        <f t="shared" si="5"/>
        <v>1</v>
      </c>
    </row>
    <row r="175" spans="1:8" x14ac:dyDescent="0.3">
      <c r="A175" t="s">
        <v>552</v>
      </c>
      <c r="B175">
        <v>35</v>
      </c>
      <c r="C175">
        <v>70</v>
      </c>
      <c r="D175">
        <v>53</v>
      </c>
      <c r="E175" s="1">
        <v>11130</v>
      </c>
      <c r="F175">
        <v>427</v>
      </c>
      <c r="G175" s="2">
        <f t="shared" si="4"/>
        <v>45204</v>
      </c>
      <c r="H175">
        <f t="shared" si="5"/>
        <v>1</v>
      </c>
    </row>
    <row r="176" spans="1:8" x14ac:dyDescent="0.3">
      <c r="A176" t="s">
        <v>551</v>
      </c>
      <c r="B176">
        <v>43</v>
      </c>
      <c r="C176">
        <v>73</v>
      </c>
      <c r="D176">
        <v>64</v>
      </c>
      <c r="E176" s="1">
        <v>10815</v>
      </c>
      <c r="F176">
        <v>282</v>
      </c>
      <c r="G176" s="2">
        <f t="shared" si="4"/>
        <v>45208</v>
      </c>
      <c r="H176">
        <f t="shared" si="5"/>
        <v>4</v>
      </c>
    </row>
    <row r="177" spans="1:8" x14ac:dyDescent="0.3">
      <c r="A177" t="s">
        <v>550</v>
      </c>
      <c r="B177">
        <v>41</v>
      </c>
      <c r="C177">
        <v>60</v>
      </c>
      <c r="D177">
        <v>71</v>
      </c>
      <c r="E177" s="1">
        <v>10910</v>
      </c>
      <c r="F177">
        <v>257</v>
      </c>
      <c r="G177" s="2">
        <f t="shared" si="4"/>
        <v>45209</v>
      </c>
      <c r="H177">
        <f t="shared" si="5"/>
        <v>1</v>
      </c>
    </row>
    <row r="178" spans="1:8" x14ac:dyDescent="0.3">
      <c r="A178" t="s">
        <v>549</v>
      </c>
      <c r="B178">
        <v>65</v>
      </c>
      <c r="C178">
        <v>83</v>
      </c>
      <c r="D178">
        <v>65</v>
      </c>
      <c r="E178" s="1">
        <v>10960</v>
      </c>
      <c r="F178">
        <v>266</v>
      </c>
      <c r="G178" s="2">
        <f t="shared" si="4"/>
        <v>45210</v>
      </c>
      <c r="H178">
        <f t="shared" si="5"/>
        <v>1</v>
      </c>
    </row>
    <row r="179" spans="1:8" x14ac:dyDescent="0.3">
      <c r="A179" t="s">
        <v>548</v>
      </c>
      <c r="B179">
        <v>38</v>
      </c>
      <c r="C179">
        <v>80</v>
      </c>
      <c r="D179">
        <v>82</v>
      </c>
      <c r="E179" s="1">
        <v>10992</v>
      </c>
      <c r="F179">
        <v>398</v>
      </c>
      <c r="G179" s="2">
        <f t="shared" si="4"/>
        <v>45211</v>
      </c>
      <c r="H179">
        <f t="shared" si="5"/>
        <v>1</v>
      </c>
    </row>
    <row r="180" spans="1:8" x14ac:dyDescent="0.3">
      <c r="A180" t="s">
        <v>547</v>
      </c>
      <c r="B180">
        <v>56</v>
      </c>
      <c r="C180">
        <v>82</v>
      </c>
      <c r="D180">
        <v>68</v>
      </c>
      <c r="E180" s="1">
        <v>10571</v>
      </c>
      <c r="F180">
        <v>434</v>
      </c>
      <c r="G180" s="2">
        <f t="shared" si="4"/>
        <v>45214</v>
      </c>
      <c r="H180">
        <f t="shared" si="5"/>
        <v>3</v>
      </c>
    </row>
    <row r="181" spans="1:8" x14ac:dyDescent="0.3">
      <c r="A181" t="s">
        <v>546</v>
      </c>
      <c r="B181">
        <v>74</v>
      </c>
      <c r="C181">
        <v>103</v>
      </c>
      <c r="D181">
        <v>80</v>
      </c>
      <c r="E181" s="1">
        <v>10629</v>
      </c>
      <c r="F181">
        <v>331</v>
      </c>
      <c r="G181" s="2">
        <f t="shared" si="4"/>
        <v>45215</v>
      </c>
      <c r="H181">
        <f t="shared" si="5"/>
        <v>1</v>
      </c>
    </row>
    <row r="182" spans="1:8" x14ac:dyDescent="0.3">
      <c r="A182" t="s">
        <v>545</v>
      </c>
      <c r="B182">
        <v>68</v>
      </c>
      <c r="C182">
        <v>107</v>
      </c>
      <c r="D182">
        <v>102</v>
      </c>
      <c r="E182" s="1">
        <v>10630</v>
      </c>
      <c r="F182">
        <v>315</v>
      </c>
      <c r="G182" s="2">
        <f t="shared" si="4"/>
        <v>45216</v>
      </c>
      <c r="H182">
        <f t="shared" si="5"/>
        <v>1</v>
      </c>
    </row>
    <row r="183" spans="1:8" x14ac:dyDescent="0.3">
      <c r="A183" t="s">
        <v>544</v>
      </c>
      <c r="B183">
        <v>92</v>
      </c>
      <c r="C183">
        <v>124</v>
      </c>
      <c r="D183">
        <v>93</v>
      </c>
      <c r="E183" s="1">
        <v>10511</v>
      </c>
      <c r="F183">
        <v>393</v>
      </c>
      <c r="G183" s="2">
        <f t="shared" si="4"/>
        <v>45217</v>
      </c>
      <c r="H183">
        <f t="shared" si="5"/>
        <v>1</v>
      </c>
    </row>
    <row r="184" spans="1:8" x14ac:dyDescent="0.3">
      <c r="A184" t="s">
        <v>543</v>
      </c>
      <c r="B184">
        <v>113</v>
      </c>
      <c r="C184">
        <v>162</v>
      </c>
      <c r="D184">
        <v>107</v>
      </c>
      <c r="E184" s="1">
        <v>10319</v>
      </c>
      <c r="F184">
        <v>406</v>
      </c>
      <c r="G184" s="2">
        <f t="shared" si="4"/>
        <v>45218</v>
      </c>
      <c r="H184">
        <f t="shared" si="5"/>
        <v>1</v>
      </c>
    </row>
    <row r="185" spans="1:8" x14ac:dyDescent="0.3">
      <c r="A185" t="s">
        <v>542</v>
      </c>
      <c r="B185">
        <v>106</v>
      </c>
      <c r="C185">
        <v>196</v>
      </c>
      <c r="D185">
        <v>131</v>
      </c>
      <c r="E185" s="1">
        <v>9506</v>
      </c>
      <c r="F185">
        <v>454</v>
      </c>
      <c r="G185" s="2">
        <f t="shared" si="4"/>
        <v>45221</v>
      </c>
      <c r="H185">
        <f t="shared" si="5"/>
        <v>3</v>
      </c>
    </row>
    <row r="186" spans="1:8" x14ac:dyDescent="0.3">
      <c r="A186" t="s">
        <v>541</v>
      </c>
      <c r="B186">
        <v>86</v>
      </c>
      <c r="C186">
        <v>152</v>
      </c>
      <c r="D186">
        <v>168</v>
      </c>
      <c r="E186" s="1">
        <v>9436</v>
      </c>
      <c r="F186">
        <v>327</v>
      </c>
      <c r="G186" s="2">
        <f t="shared" si="4"/>
        <v>45222</v>
      </c>
      <c r="H186">
        <f t="shared" si="5"/>
        <v>1</v>
      </c>
    </row>
    <row r="187" spans="1:8" x14ac:dyDescent="0.3">
      <c r="A187" t="s">
        <v>540</v>
      </c>
      <c r="B187">
        <v>84</v>
      </c>
      <c r="C187">
        <v>118</v>
      </c>
      <c r="D187">
        <v>136</v>
      </c>
      <c r="E187" s="1">
        <v>9396</v>
      </c>
      <c r="F187">
        <v>300</v>
      </c>
      <c r="G187" s="2">
        <f t="shared" si="4"/>
        <v>45223</v>
      </c>
      <c r="H187">
        <f t="shared" si="5"/>
        <v>1</v>
      </c>
    </row>
    <row r="188" spans="1:8" x14ac:dyDescent="0.3">
      <c r="A188" t="s">
        <v>539</v>
      </c>
      <c r="B188">
        <v>59</v>
      </c>
      <c r="C188">
        <v>64</v>
      </c>
      <c r="D188">
        <v>117</v>
      </c>
      <c r="E188" s="1">
        <v>9351</v>
      </c>
      <c r="F188">
        <v>293</v>
      </c>
      <c r="G188" s="2">
        <f t="shared" si="4"/>
        <v>45224</v>
      </c>
      <c r="H188">
        <f t="shared" si="5"/>
        <v>1</v>
      </c>
    </row>
    <row r="189" spans="1:8" x14ac:dyDescent="0.3">
      <c r="A189" t="s">
        <v>538</v>
      </c>
      <c r="B189">
        <v>62</v>
      </c>
      <c r="C189">
        <v>97</v>
      </c>
      <c r="D189">
        <v>52</v>
      </c>
      <c r="E189" s="1">
        <v>9235</v>
      </c>
      <c r="F189">
        <v>390</v>
      </c>
      <c r="G189" s="2">
        <f t="shared" si="4"/>
        <v>45225</v>
      </c>
      <c r="H189">
        <f t="shared" si="5"/>
        <v>1</v>
      </c>
    </row>
    <row r="190" spans="1:8" x14ac:dyDescent="0.3">
      <c r="A190" t="s">
        <v>537</v>
      </c>
      <c r="B190">
        <v>91</v>
      </c>
      <c r="C190">
        <v>75</v>
      </c>
      <c r="D190">
        <v>97</v>
      </c>
      <c r="E190" s="1">
        <v>8925</v>
      </c>
      <c r="F190">
        <v>418</v>
      </c>
      <c r="G190" s="2">
        <f t="shared" si="4"/>
        <v>45228</v>
      </c>
      <c r="H190">
        <f t="shared" si="5"/>
        <v>3</v>
      </c>
    </row>
    <row r="191" spans="1:8" x14ac:dyDescent="0.3">
      <c r="A191" t="s">
        <v>536</v>
      </c>
      <c r="B191">
        <v>29</v>
      </c>
      <c r="C191">
        <v>51</v>
      </c>
      <c r="D191">
        <v>11</v>
      </c>
      <c r="E191" s="1">
        <v>9026</v>
      </c>
      <c r="F191">
        <v>278</v>
      </c>
      <c r="G191" s="2">
        <f t="shared" si="4"/>
        <v>45229</v>
      </c>
      <c r="H191">
        <f t="shared" si="5"/>
        <v>1</v>
      </c>
    </row>
    <row r="192" spans="1:8" x14ac:dyDescent="0.3">
      <c r="A192" t="s">
        <v>535</v>
      </c>
      <c r="B192">
        <v>33</v>
      </c>
      <c r="C192">
        <v>53</v>
      </c>
      <c r="D192">
        <v>34</v>
      </c>
      <c r="E192" s="1">
        <v>9072</v>
      </c>
      <c r="F192">
        <v>295</v>
      </c>
      <c r="G192" s="2">
        <f t="shared" si="4"/>
        <v>45230</v>
      </c>
      <c r="H192">
        <f t="shared" si="5"/>
        <v>1</v>
      </c>
    </row>
    <row r="193" spans="1:8" x14ac:dyDescent="0.3">
      <c r="A193" t="s">
        <v>534</v>
      </c>
      <c r="B193">
        <v>132</v>
      </c>
      <c r="C193">
        <v>235</v>
      </c>
      <c r="D193">
        <v>197</v>
      </c>
      <c r="E193" s="1">
        <v>9250</v>
      </c>
      <c r="F193">
        <v>279</v>
      </c>
      <c r="G193" s="2">
        <f t="shared" si="4"/>
        <v>45231</v>
      </c>
      <c r="H193">
        <f t="shared" si="5"/>
        <v>1</v>
      </c>
    </row>
    <row r="194" spans="1:8" x14ac:dyDescent="0.3">
      <c r="A194" t="s">
        <v>533</v>
      </c>
      <c r="B194">
        <v>174</v>
      </c>
      <c r="C194">
        <v>208</v>
      </c>
      <c r="D194">
        <v>256</v>
      </c>
      <c r="E194" s="1">
        <v>9442</v>
      </c>
      <c r="F194">
        <v>330</v>
      </c>
      <c r="G194" s="2">
        <f t="shared" ref="G194:G257" si="6">DATE(VALUE(RIGHT(A194,4)),MONTH(DATEVALUE(LEFT(A194,FIND(" ",A194)-1)&amp;"1")),VALUE(MID(A194,FIND(" ",A194)+1,FIND(",",A194)-FIND(" ",A194)-1)))</f>
        <v>45232</v>
      </c>
      <c r="H194">
        <f t="shared" si="5"/>
        <v>1</v>
      </c>
    </row>
    <row r="195" spans="1:8" x14ac:dyDescent="0.3">
      <c r="A195" t="s">
        <v>532</v>
      </c>
      <c r="B195">
        <v>123</v>
      </c>
      <c r="C195">
        <v>230</v>
      </c>
      <c r="D195">
        <v>167</v>
      </c>
      <c r="E195" s="1">
        <v>9273</v>
      </c>
      <c r="F195">
        <v>370</v>
      </c>
      <c r="G195" s="2">
        <f t="shared" si="6"/>
        <v>45235</v>
      </c>
      <c r="H195">
        <f t="shared" si="5"/>
        <v>3</v>
      </c>
    </row>
    <row r="196" spans="1:8" x14ac:dyDescent="0.3">
      <c r="A196" t="s">
        <v>531</v>
      </c>
      <c r="B196">
        <v>123</v>
      </c>
      <c r="C196">
        <v>233</v>
      </c>
      <c r="D196">
        <v>159</v>
      </c>
      <c r="E196" s="1">
        <v>9286</v>
      </c>
      <c r="F196">
        <v>316</v>
      </c>
      <c r="G196" s="2">
        <f t="shared" si="6"/>
        <v>45236</v>
      </c>
      <c r="H196">
        <f t="shared" ref="H196:H259" si="7">G196-G195</f>
        <v>1</v>
      </c>
    </row>
    <row r="197" spans="1:8" x14ac:dyDescent="0.3">
      <c r="A197" t="s">
        <v>530</v>
      </c>
      <c r="B197">
        <v>141</v>
      </c>
      <c r="C197">
        <v>232</v>
      </c>
      <c r="D197">
        <v>188</v>
      </c>
      <c r="E197" s="1">
        <v>9483</v>
      </c>
      <c r="F197">
        <v>231</v>
      </c>
      <c r="G197" s="2">
        <f t="shared" si="6"/>
        <v>45237</v>
      </c>
      <c r="H197">
        <f t="shared" si="7"/>
        <v>1</v>
      </c>
    </row>
    <row r="198" spans="1:8" x14ac:dyDescent="0.3">
      <c r="A198" t="s">
        <v>529</v>
      </c>
      <c r="B198">
        <v>158</v>
      </c>
      <c r="C198">
        <v>226</v>
      </c>
      <c r="D198">
        <v>191</v>
      </c>
      <c r="E198" s="1">
        <v>9634</v>
      </c>
      <c r="F198">
        <v>310</v>
      </c>
      <c r="G198" s="2">
        <f t="shared" si="6"/>
        <v>45238</v>
      </c>
      <c r="H198">
        <f t="shared" si="7"/>
        <v>1</v>
      </c>
    </row>
    <row r="199" spans="1:8" x14ac:dyDescent="0.3">
      <c r="A199" t="s">
        <v>528</v>
      </c>
      <c r="B199">
        <v>96</v>
      </c>
      <c r="C199">
        <v>160</v>
      </c>
      <c r="D199">
        <v>233</v>
      </c>
      <c r="E199" s="1">
        <v>9477</v>
      </c>
      <c r="F199">
        <v>313</v>
      </c>
      <c r="G199" s="2">
        <f t="shared" si="6"/>
        <v>45242</v>
      </c>
      <c r="H199">
        <f t="shared" si="7"/>
        <v>4</v>
      </c>
    </row>
    <row r="200" spans="1:8" x14ac:dyDescent="0.3">
      <c r="A200" t="s">
        <v>527</v>
      </c>
      <c r="B200">
        <v>141</v>
      </c>
      <c r="C200">
        <v>173</v>
      </c>
      <c r="D200">
        <v>129</v>
      </c>
      <c r="E200" s="1">
        <v>9510</v>
      </c>
      <c r="F200">
        <v>287</v>
      </c>
      <c r="G200" s="2">
        <f t="shared" si="6"/>
        <v>45243</v>
      </c>
      <c r="H200">
        <f t="shared" si="7"/>
        <v>1</v>
      </c>
    </row>
    <row r="201" spans="1:8" x14ac:dyDescent="0.3">
      <c r="A201" t="s">
        <v>526</v>
      </c>
      <c r="B201">
        <v>116</v>
      </c>
      <c r="C201">
        <v>181</v>
      </c>
      <c r="D201">
        <v>182</v>
      </c>
      <c r="E201" s="1">
        <v>9665</v>
      </c>
      <c r="F201">
        <v>247</v>
      </c>
      <c r="G201" s="2">
        <f t="shared" si="6"/>
        <v>45244</v>
      </c>
      <c r="H201">
        <f t="shared" si="7"/>
        <v>1</v>
      </c>
    </row>
    <row r="202" spans="1:8" x14ac:dyDescent="0.3">
      <c r="A202" t="s">
        <v>525</v>
      </c>
      <c r="B202">
        <v>150</v>
      </c>
      <c r="C202">
        <v>157</v>
      </c>
      <c r="D202">
        <v>201</v>
      </c>
      <c r="E202" s="1">
        <v>9762</v>
      </c>
      <c r="F202">
        <v>316</v>
      </c>
      <c r="G202" s="2">
        <f t="shared" si="6"/>
        <v>45245</v>
      </c>
      <c r="H202">
        <f t="shared" si="7"/>
        <v>1</v>
      </c>
    </row>
    <row r="203" spans="1:8" x14ac:dyDescent="0.3">
      <c r="A203" t="s">
        <v>524</v>
      </c>
      <c r="B203">
        <v>80</v>
      </c>
      <c r="C203">
        <v>176</v>
      </c>
      <c r="D203">
        <v>125</v>
      </c>
      <c r="E203" s="1">
        <v>9762</v>
      </c>
      <c r="F203">
        <v>374</v>
      </c>
      <c r="G203" s="2">
        <f t="shared" si="6"/>
        <v>45246</v>
      </c>
      <c r="H203">
        <f t="shared" si="7"/>
        <v>1</v>
      </c>
    </row>
    <row r="204" spans="1:8" x14ac:dyDescent="0.3">
      <c r="A204" t="s">
        <v>523</v>
      </c>
      <c r="B204">
        <v>116</v>
      </c>
      <c r="C204">
        <v>188</v>
      </c>
      <c r="D204">
        <v>164</v>
      </c>
      <c r="E204" s="1">
        <v>9573</v>
      </c>
      <c r="F204">
        <v>435</v>
      </c>
      <c r="G204" s="2">
        <f t="shared" si="6"/>
        <v>45249</v>
      </c>
      <c r="H204">
        <f t="shared" si="7"/>
        <v>3</v>
      </c>
    </row>
    <row r="205" spans="1:8" x14ac:dyDescent="0.3">
      <c r="A205" t="s">
        <v>522</v>
      </c>
      <c r="B205">
        <v>105</v>
      </c>
      <c r="C205">
        <v>185</v>
      </c>
      <c r="D205">
        <v>158</v>
      </c>
      <c r="E205" s="1">
        <v>9638</v>
      </c>
      <c r="F205">
        <v>298</v>
      </c>
      <c r="G205" s="2">
        <f t="shared" si="6"/>
        <v>45250</v>
      </c>
      <c r="H205">
        <f t="shared" si="7"/>
        <v>1</v>
      </c>
    </row>
    <row r="206" spans="1:8" x14ac:dyDescent="0.3">
      <c r="A206" t="s">
        <v>521</v>
      </c>
      <c r="B206">
        <v>136</v>
      </c>
      <c r="C206">
        <v>246</v>
      </c>
      <c r="D206">
        <v>123</v>
      </c>
      <c r="E206" s="1">
        <v>9804</v>
      </c>
      <c r="F206">
        <v>250</v>
      </c>
      <c r="G206" s="2">
        <f t="shared" si="6"/>
        <v>45251</v>
      </c>
      <c r="H206">
        <f t="shared" si="7"/>
        <v>1</v>
      </c>
    </row>
    <row r="207" spans="1:8" x14ac:dyDescent="0.3">
      <c r="A207" t="s">
        <v>520</v>
      </c>
      <c r="B207">
        <v>128</v>
      </c>
      <c r="C207">
        <v>228</v>
      </c>
      <c r="D207">
        <v>177</v>
      </c>
      <c r="E207" s="1">
        <v>9838</v>
      </c>
      <c r="F207">
        <v>283</v>
      </c>
      <c r="G207" s="2">
        <f t="shared" si="6"/>
        <v>45253</v>
      </c>
      <c r="H207">
        <f t="shared" si="7"/>
        <v>2</v>
      </c>
    </row>
    <row r="208" spans="1:8" x14ac:dyDescent="0.3">
      <c r="A208" t="s">
        <v>519</v>
      </c>
      <c r="B208">
        <v>90</v>
      </c>
      <c r="C208">
        <v>196</v>
      </c>
      <c r="D208">
        <v>205</v>
      </c>
      <c r="E208" s="1">
        <v>9845</v>
      </c>
      <c r="F208">
        <v>312</v>
      </c>
      <c r="G208" s="2">
        <f t="shared" si="6"/>
        <v>45256</v>
      </c>
      <c r="H208">
        <f t="shared" si="7"/>
        <v>3</v>
      </c>
    </row>
    <row r="209" spans="1:8" x14ac:dyDescent="0.3">
      <c r="A209" t="s">
        <v>518</v>
      </c>
      <c r="B209">
        <v>56</v>
      </c>
      <c r="C209">
        <v>82</v>
      </c>
      <c r="D209">
        <v>68</v>
      </c>
      <c r="E209" s="1">
        <v>10123</v>
      </c>
      <c r="F209">
        <v>214</v>
      </c>
      <c r="G209" s="2">
        <f t="shared" si="6"/>
        <v>45257</v>
      </c>
      <c r="H209">
        <f t="shared" si="7"/>
        <v>1</v>
      </c>
    </row>
    <row r="210" spans="1:8" x14ac:dyDescent="0.3">
      <c r="A210" t="s">
        <v>517</v>
      </c>
      <c r="B210">
        <v>74</v>
      </c>
      <c r="C210">
        <v>103</v>
      </c>
      <c r="D210">
        <v>80</v>
      </c>
      <c r="E210" s="1">
        <v>10223</v>
      </c>
      <c r="F210">
        <v>223</v>
      </c>
      <c r="G210" s="2">
        <f t="shared" si="6"/>
        <v>45258</v>
      </c>
      <c r="H210">
        <f t="shared" si="7"/>
        <v>1</v>
      </c>
    </row>
    <row r="211" spans="1:8" x14ac:dyDescent="0.3">
      <c r="A211" t="s">
        <v>516</v>
      </c>
      <c r="B211">
        <v>68</v>
      </c>
      <c r="C211">
        <v>107</v>
      </c>
      <c r="D211">
        <v>102</v>
      </c>
      <c r="E211" s="1">
        <v>10398</v>
      </c>
      <c r="F211">
        <v>284</v>
      </c>
      <c r="G211" s="2">
        <f t="shared" si="6"/>
        <v>45259</v>
      </c>
      <c r="H211">
        <f t="shared" si="7"/>
        <v>1</v>
      </c>
    </row>
    <row r="212" spans="1:8" x14ac:dyDescent="0.3">
      <c r="A212" t="s">
        <v>515</v>
      </c>
      <c r="B212">
        <v>92</v>
      </c>
      <c r="C212">
        <v>124</v>
      </c>
      <c r="D212">
        <v>93</v>
      </c>
      <c r="E212" s="1">
        <v>10536</v>
      </c>
      <c r="F212">
        <v>320</v>
      </c>
      <c r="G212" s="2">
        <f t="shared" si="6"/>
        <v>45260</v>
      </c>
      <c r="H212">
        <f t="shared" si="7"/>
        <v>1</v>
      </c>
    </row>
    <row r="213" spans="1:8" x14ac:dyDescent="0.3">
      <c r="A213" t="s">
        <v>514</v>
      </c>
      <c r="B213">
        <v>132</v>
      </c>
      <c r="C213">
        <v>235</v>
      </c>
      <c r="D213">
        <v>197</v>
      </c>
      <c r="E213" s="1">
        <v>10579</v>
      </c>
      <c r="F213">
        <v>417</v>
      </c>
      <c r="G213" s="2">
        <f t="shared" si="6"/>
        <v>45263</v>
      </c>
      <c r="H213">
        <f t="shared" si="7"/>
        <v>3</v>
      </c>
    </row>
    <row r="214" spans="1:8" x14ac:dyDescent="0.3">
      <c r="A214" t="s">
        <v>513</v>
      </c>
      <c r="B214">
        <v>174</v>
      </c>
      <c r="C214">
        <v>208</v>
      </c>
      <c r="D214">
        <v>256</v>
      </c>
      <c r="E214" s="1">
        <v>10635</v>
      </c>
      <c r="F214">
        <v>273</v>
      </c>
      <c r="G214" s="2">
        <f t="shared" si="6"/>
        <v>45264</v>
      </c>
      <c r="H214">
        <f t="shared" si="7"/>
        <v>1</v>
      </c>
    </row>
    <row r="215" spans="1:8" x14ac:dyDescent="0.3">
      <c r="A215" t="s">
        <v>512</v>
      </c>
      <c r="B215">
        <v>123</v>
      </c>
      <c r="C215">
        <v>230</v>
      </c>
      <c r="D215">
        <v>167</v>
      </c>
      <c r="E215" s="1">
        <v>10761</v>
      </c>
      <c r="F215">
        <v>261</v>
      </c>
      <c r="G215" s="2">
        <f t="shared" si="6"/>
        <v>45265</v>
      </c>
      <c r="H215">
        <f t="shared" si="7"/>
        <v>1</v>
      </c>
    </row>
    <row r="216" spans="1:8" x14ac:dyDescent="0.3">
      <c r="A216" t="s">
        <v>511</v>
      </c>
      <c r="B216">
        <v>123</v>
      </c>
      <c r="C216">
        <v>233</v>
      </c>
      <c r="D216">
        <v>159</v>
      </c>
      <c r="E216" s="1">
        <v>10832</v>
      </c>
      <c r="F216">
        <v>376</v>
      </c>
      <c r="G216" s="2">
        <f t="shared" si="6"/>
        <v>45266</v>
      </c>
      <c r="H216">
        <f t="shared" si="7"/>
        <v>1</v>
      </c>
    </row>
    <row r="217" spans="1:8" x14ac:dyDescent="0.3">
      <c r="A217" t="s">
        <v>510</v>
      </c>
      <c r="B217">
        <v>141</v>
      </c>
      <c r="C217">
        <v>232</v>
      </c>
      <c r="D217">
        <v>188</v>
      </c>
      <c r="E217" s="1">
        <v>10897</v>
      </c>
      <c r="F217">
        <v>466</v>
      </c>
      <c r="G217" s="2">
        <f t="shared" si="6"/>
        <v>45267</v>
      </c>
      <c r="H217">
        <f t="shared" si="7"/>
        <v>1</v>
      </c>
    </row>
    <row r="218" spans="1:8" x14ac:dyDescent="0.3">
      <c r="A218" t="s">
        <v>509</v>
      </c>
      <c r="B218">
        <v>158</v>
      </c>
      <c r="C218">
        <v>226</v>
      </c>
      <c r="D218">
        <v>191</v>
      </c>
      <c r="E218" s="1">
        <v>10871</v>
      </c>
      <c r="F218">
        <v>411</v>
      </c>
      <c r="G218" s="2">
        <f t="shared" si="6"/>
        <v>45270</v>
      </c>
      <c r="H218">
        <f t="shared" si="7"/>
        <v>3</v>
      </c>
    </row>
    <row r="219" spans="1:8" x14ac:dyDescent="0.3">
      <c r="A219" t="s">
        <v>508</v>
      </c>
      <c r="B219">
        <v>96</v>
      </c>
      <c r="C219">
        <v>160</v>
      </c>
      <c r="D219">
        <v>233</v>
      </c>
      <c r="E219" s="1">
        <v>10998</v>
      </c>
      <c r="F219">
        <v>304</v>
      </c>
      <c r="G219" s="2">
        <f t="shared" si="6"/>
        <v>45271</v>
      </c>
      <c r="H219">
        <f t="shared" si="7"/>
        <v>1</v>
      </c>
    </row>
    <row r="220" spans="1:8" x14ac:dyDescent="0.3">
      <c r="A220" t="s">
        <v>507</v>
      </c>
      <c r="B220">
        <v>141</v>
      </c>
      <c r="C220">
        <v>173</v>
      </c>
      <c r="D220">
        <v>129</v>
      </c>
      <c r="E220" s="1">
        <v>11077</v>
      </c>
      <c r="F220">
        <v>259</v>
      </c>
      <c r="G220" s="2">
        <f t="shared" si="6"/>
        <v>45272</v>
      </c>
      <c r="H220">
        <f t="shared" si="7"/>
        <v>1</v>
      </c>
    </row>
    <row r="221" spans="1:8" x14ac:dyDescent="0.3">
      <c r="A221" t="s">
        <v>506</v>
      </c>
      <c r="B221">
        <v>116</v>
      </c>
      <c r="C221">
        <v>181</v>
      </c>
      <c r="D221">
        <v>182</v>
      </c>
      <c r="E221" s="1">
        <v>11192</v>
      </c>
      <c r="F221">
        <v>335</v>
      </c>
      <c r="G221" s="2">
        <f t="shared" si="6"/>
        <v>45273</v>
      </c>
      <c r="H221">
        <f t="shared" si="7"/>
        <v>1</v>
      </c>
    </row>
    <row r="222" spans="1:8" x14ac:dyDescent="0.3">
      <c r="A222" t="s">
        <v>505</v>
      </c>
      <c r="B222">
        <v>150</v>
      </c>
      <c r="C222">
        <v>157</v>
      </c>
      <c r="D222">
        <v>201</v>
      </c>
      <c r="E222" s="1">
        <v>11242</v>
      </c>
      <c r="F222">
        <v>396</v>
      </c>
      <c r="G222" s="2">
        <f t="shared" si="6"/>
        <v>45274</v>
      </c>
      <c r="H222">
        <f t="shared" si="7"/>
        <v>1</v>
      </c>
    </row>
    <row r="223" spans="1:8" x14ac:dyDescent="0.3">
      <c r="A223" t="s">
        <v>504</v>
      </c>
      <c r="B223">
        <v>80</v>
      </c>
      <c r="C223">
        <v>176</v>
      </c>
      <c r="D223">
        <v>125</v>
      </c>
      <c r="E223" s="1">
        <v>11092</v>
      </c>
      <c r="F223">
        <v>456</v>
      </c>
      <c r="G223" s="2">
        <f t="shared" si="6"/>
        <v>45277</v>
      </c>
      <c r="H223">
        <f t="shared" si="7"/>
        <v>3</v>
      </c>
    </row>
    <row r="224" spans="1:8" x14ac:dyDescent="0.3">
      <c r="A224" t="s">
        <v>503</v>
      </c>
      <c r="B224">
        <v>116</v>
      </c>
      <c r="C224">
        <v>188</v>
      </c>
      <c r="D224">
        <v>164</v>
      </c>
      <c r="E224" s="1">
        <v>11149</v>
      </c>
      <c r="F224">
        <v>364</v>
      </c>
      <c r="G224" s="2">
        <f t="shared" si="6"/>
        <v>45278</v>
      </c>
      <c r="H224">
        <f t="shared" si="7"/>
        <v>1</v>
      </c>
    </row>
    <row r="225" spans="1:8" x14ac:dyDescent="0.3">
      <c r="A225" t="s">
        <v>502</v>
      </c>
      <c r="B225">
        <v>105</v>
      </c>
      <c r="C225">
        <v>185</v>
      </c>
      <c r="D225">
        <v>158</v>
      </c>
      <c r="E225" s="1">
        <v>11291</v>
      </c>
      <c r="F225">
        <v>272</v>
      </c>
      <c r="G225" s="2">
        <f t="shared" si="6"/>
        <v>45279</v>
      </c>
      <c r="H225">
        <f t="shared" si="7"/>
        <v>1</v>
      </c>
    </row>
    <row r="226" spans="1:8" x14ac:dyDescent="0.3">
      <c r="A226" t="s">
        <v>501</v>
      </c>
      <c r="B226">
        <v>136</v>
      </c>
      <c r="C226">
        <v>246</v>
      </c>
      <c r="D226">
        <v>123</v>
      </c>
      <c r="E226" s="1">
        <v>11516</v>
      </c>
      <c r="F226">
        <v>390</v>
      </c>
      <c r="G226" s="2">
        <f t="shared" si="6"/>
        <v>45280</v>
      </c>
      <c r="H226">
        <f t="shared" si="7"/>
        <v>1</v>
      </c>
    </row>
    <row r="227" spans="1:8" x14ac:dyDescent="0.3">
      <c r="A227" t="s">
        <v>500</v>
      </c>
      <c r="B227">
        <v>128</v>
      </c>
      <c r="C227">
        <v>228</v>
      </c>
      <c r="D227">
        <v>177</v>
      </c>
      <c r="E227" s="1">
        <v>11375</v>
      </c>
      <c r="F227">
        <v>497</v>
      </c>
      <c r="G227" s="2">
        <f t="shared" si="6"/>
        <v>45281</v>
      </c>
      <c r="H227">
        <f t="shared" si="7"/>
        <v>1</v>
      </c>
    </row>
    <row r="228" spans="1:8" x14ac:dyDescent="0.3">
      <c r="A228" t="s">
        <v>499</v>
      </c>
      <c r="B228">
        <v>90</v>
      </c>
      <c r="C228">
        <v>196</v>
      </c>
      <c r="D228">
        <v>205</v>
      </c>
      <c r="E228" s="1">
        <v>11144</v>
      </c>
      <c r="F228">
        <v>347</v>
      </c>
      <c r="G228" s="2">
        <f t="shared" si="6"/>
        <v>45285</v>
      </c>
      <c r="H228">
        <f t="shared" si="7"/>
        <v>4</v>
      </c>
    </row>
    <row r="229" spans="1:8" x14ac:dyDescent="0.3">
      <c r="A229" t="s">
        <v>498</v>
      </c>
      <c r="B229">
        <v>56</v>
      </c>
      <c r="C229">
        <v>82</v>
      </c>
      <c r="D229">
        <v>68</v>
      </c>
      <c r="E229" s="1">
        <v>11217</v>
      </c>
      <c r="F229">
        <v>288</v>
      </c>
      <c r="G229" s="2">
        <f t="shared" si="6"/>
        <v>45286</v>
      </c>
      <c r="H229">
        <f t="shared" si="7"/>
        <v>1</v>
      </c>
    </row>
    <row r="230" spans="1:8" x14ac:dyDescent="0.3">
      <c r="A230" t="s">
        <v>497</v>
      </c>
      <c r="B230">
        <v>74</v>
      </c>
      <c r="C230">
        <v>103</v>
      </c>
      <c r="D230">
        <v>80</v>
      </c>
      <c r="E230" s="1">
        <v>11206</v>
      </c>
      <c r="F230">
        <v>335</v>
      </c>
      <c r="G230" s="2">
        <f t="shared" si="6"/>
        <v>45287</v>
      </c>
      <c r="H230">
        <f t="shared" si="7"/>
        <v>1</v>
      </c>
    </row>
    <row r="231" spans="1:8" x14ac:dyDescent="0.3">
      <c r="A231" t="s">
        <v>496</v>
      </c>
      <c r="B231">
        <v>68</v>
      </c>
      <c r="C231">
        <v>107</v>
      </c>
      <c r="D231">
        <v>102</v>
      </c>
      <c r="E231" s="1">
        <v>11230</v>
      </c>
      <c r="F231">
        <v>357</v>
      </c>
      <c r="G231" s="2">
        <f t="shared" si="6"/>
        <v>45288</v>
      </c>
      <c r="H231">
        <f t="shared" si="7"/>
        <v>1</v>
      </c>
    </row>
    <row r="232" spans="1:8" x14ac:dyDescent="0.3">
      <c r="A232" t="s">
        <v>495</v>
      </c>
      <c r="B232">
        <v>92</v>
      </c>
      <c r="C232">
        <v>124</v>
      </c>
      <c r="D232">
        <v>93</v>
      </c>
      <c r="E232" s="1">
        <v>10870</v>
      </c>
      <c r="F232">
        <v>290</v>
      </c>
      <c r="G232" s="2">
        <f t="shared" si="6"/>
        <v>45292</v>
      </c>
      <c r="H232">
        <f t="shared" si="7"/>
        <v>4</v>
      </c>
    </row>
    <row r="233" spans="1:8" x14ac:dyDescent="0.3">
      <c r="A233" t="s">
        <v>494</v>
      </c>
      <c r="B233">
        <v>113</v>
      </c>
      <c r="C233">
        <v>162</v>
      </c>
      <c r="D233">
        <v>107</v>
      </c>
      <c r="E233" s="1">
        <v>10770</v>
      </c>
      <c r="F233">
        <v>316</v>
      </c>
      <c r="G233" s="2">
        <f t="shared" si="6"/>
        <v>45293</v>
      </c>
      <c r="H233">
        <f t="shared" si="7"/>
        <v>1</v>
      </c>
    </row>
    <row r="234" spans="1:8" x14ac:dyDescent="0.3">
      <c r="A234" t="s">
        <v>493</v>
      </c>
      <c r="B234">
        <v>106</v>
      </c>
      <c r="C234">
        <v>196</v>
      </c>
      <c r="D234">
        <v>131</v>
      </c>
      <c r="E234" s="1">
        <v>10718</v>
      </c>
      <c r="F234">
        <v>263</v>
      </c>
      <c r="G234" s="2">
        <f t="shared" si="6"/>
        <v>45294</v>
      </c>
      <c r="H234">
        <f t="shared" si="7"/>
        <v>1</v>
      </c>
    </row>
    <row r="235" spans="1:8" x14ac:dyDescent="0.3">
      <c r="A235" t="s">
        <v>492</v>
      </c>
      <c r="B235">
        <v>86</v>
      </c>
      <c r="C235">
        <v>152</v>
      </c>
      <c r="D235">
        <v>168</v>
      </c>
      <c r="E235" s="1">
        <v>10558</v>
      </c>
      <c r="F235">
        <v>362</v>
      </c>
      <c r="G235" s="2">
        <f t="shared" si="6"/>
        <v>45295</v>
      </c>
      <c r="H235">
        <f t="shared" si="7"/>
        <v>1</v>
      </c>
    </row>
    <row r="236" spans="1:8" x14ac:dyDescent="0.3">
      <c r="A236" t="s">
        <v>491</v>
      </c>
      <c r="B236">
        <v>84</v>
      </c>
      <c r="C236">
        <v>118</v>
      </c>
      <c r="D236">
        <v>136</v>
      </c>
      <c r="E236" s="1">
        <v>9670</v>
      </c>
      <c r="F236">
        <v>367</v>
      </c>
      <c r="G236" s="2">
        <f t="shared" si="6"/>
        <v>45298</v>
      </c>
      <c r="H236">
        <f t="shared" si="7"/>
        <v>3</v>
      </c>
    </row>
    <row r="237" spans="1:8" x14ac:dyDescent="0.3">
      <c r="A237" t="s">
        <v>490</v>
      </c>
      <c r="B237">
        <v>59</v>
      </c>
      <c r="C237">
        <v>64</v>
      </c>
      <c r="D237">
        <v>117</v>
      </c>
      <c r="E237" s="1">
        <v>9670</v>
      </c>
      <c r="F237">
        <v>367</v>
      </c>
      <c r="G237" s="2">
        <f t="shared" si="6"/>
        <v>45299</v>
      </c>
      <c r="H237">
        <f t="shared" si="7"/>
        <v>1</v>
      </c>
    </row>
    <row r="238" spans="1:8" x14ac:dyDescent="0.3">
      <c r="A238" t="s">
        <v>489</v>
      </c>
      <c r="B238">
        <v>62</v>
      </c>
      <c r="C238">
        <v>97</v>
      </c>
      <c r="D238">
        <v>52</v>
      </c>
      <c r="E238" s="1">
        <v>9311</v>
      </c>
      <c r="F238">
        <v>286</v>
      </c>
      <c r="G238" s="2">
        <f t="shared" si="6"/>
        <v>45300</v>
      </c>
      <c r="H238">
        <f t="shared" si="7"/>
        <v>1</v>
      </c>
    </row>
    <row r="239" spans="1:8" x14ac:dyDescent="0.3">
      <c r="A239" t="s">
        <v>488</v>
      </c>
      <c r="B239">
        <v>91</v>
      </c>
      <c r="C239">
        <v>75</v>
      </c>
      <c r="D239">
        <v>97</v>
      </c>
      <c r="E239" s="1">
        <v>9144</v>
      </c>
      <c r="F239">
        <v>349</v>
      </c>
      <c r="G239" s="2">
        <f t="shared" si="6"/>
        <v>45301</v>
      </c>
      <c r="H239">
        <f t="shared" si="7"/>
        <v>1</v>
      </c>
    </row>
    <row r="240" spans="1:8" x14ac:dyDescent="0.3">
      <c r="A240" t="s">
        <v>487</v>
      </c>
      <c r="B240">
        <v>29</v>
      </c>
      <c r="C240">
        <v>51</v>
      </c>
      <c r="D240">
        <v>11</v>
      </c>
      <c r="E240" s="1">
        <v>8829</v>
      </c>
      <c r="F240">
        <v>476</v>
      </c>
      <c r="G240" s="2">
        <f t="shared" si="6"/>
        <v>45302</v>
      </c>
      <c r="H240">
        <f t="shared" si="7"/>
        <v>1</v>
      </c>
    </row>
    <row r="241" spans="1:8" x14ac:dyDescent="0.3">
      <c r="A241" t="s">
        <v>486</v>
      </c>
      <c r="B241">
        <v>33</v>
      </c>
      <c r="C241">
        <v>53</v>
      </c>
      <c r="D241">
        <v>34</v>
      </c>
      <c r="E241" s="1">
        <v>8033</v>
      </c>
      <c r="F241">
        <v>234</v>
      </c>
      <c r="G241" s="2">
        <f t="shared" si="6"/>
        <v>45306</v>
      </c>
      <c r="H241">
        <f t="shared" si="7"/>
        <v>4</v>
      </c>
    </row>
    <row r="242" spans="1:8" x14ac:dyDescent="0.3">
      <c r="A242" t="s">
        <v>485</v>
      </c>
      <c r="B242">
        <v>32</v>
      </c>
      <c r="C242">
        <v>49</v>
      </c>
      <c r="D242">
        <v>39</v>
      </c>
      <c r="E242" s="1">
        <v>8133</v>
      </c>
      <c r="F242">
        <v>188</v>
      </c>
      <c r="G242" s="2">
        <f t="shared" si="6"/>
        <v>45307</v>
      </c>
      <c r="H242">
        <f t="shared" si="7"/>
        <v>1</v>
      </c>
    </row>
    <row r="243" spans="1:8" x14ac:dyDescent="0.3">
      <c r="A243" t="s">
        <v>484</v>
      </c>
      <c r="B243">
        <v>80</v>
      </c>
      <c r="C243">
        <v>176</v>
      </c>
      <c r="D243">
        <v>125</v>
      </c>
      <c r="E243" s="1">
        <v>8072</v>
      </c>
      <c r="F243">
        <v>353</v>
      </c>
      <c r="G243" s="2">
        <f t="shared" si="6"/>
        <v>45308</v>
      </c>
      <c r="H243">
        <f t="shared" si="7"/>
        <v>1</v>
      </c>
    </row>
    <row r="244" spans="1:8" x14ac:dyDescent="0.3">
      <c r="A244" t="s">
        <v>483</v>
      </c>
      <c r="B244">
        <v>116</v>
      </c>
      <c r="C244">
        <v>188</v>
      </c>
      <c r="D244">
        <v>164</v>
      </c>
      <c r="E244" s="1">
        <v>8042</v>
      </c>
      <c r="F244">
        <v>359</v>
      </c>
      <c r="G244" s="2">
        <f t="shared" si="6"/>
        <v>45309</v>
      </c>
      <c r="H244">
        <f t="shared" si="7"/>
        <v>1</v>
      </c>
    </row>
    <row r="245" spans="1:8" x14ac:dyDescent="0.3">
      <c r="A245" t="s">
        <v>482</v>
      </c>
      <c r="B245">
        <v>105</v>
      </c>
      <c r="C245">
        <v>185</v>
      </c>
      <c r="D245">
        <v>158</v>
      </c>
      <c r="E245" s="1">
        <v>7974</v>
      </c>
      <c r="F245">
        <v>371</v>
      </c>
      <c r="G245" s="2">
        <f t="shared" si="6"/>
        <v>45312</v>
      </c>
      <c r="H245">
        <f t="shared" si="7"/>
        <v>3</v>
      </c>
    </row>
    <row r="246" spans="1:8" x14ac:dyDescent="0.3">
      <c r="A246" t="s">
        <v>481</v>
      </c>
      <c r="B246">
        <v>136</v>
      </c>
      <c r="C246">
        <v>246</v>
      </c>
      <c r="D246">
        <v>123</v>
      </c>
      <c r="E246" s="1">
        <v>8008</v>
      </c>
      <c r="F246">
        <v>222</v>
      </c>
      <c r="G246" s="2">
        <f t="shared" si="6"/>
        <v>45313</v>
      </c>
      <c r="H246">
        <f t="shared" si="7"/>
        <v>1</v>
      </c>
    </row>
    <row r="247" spans="1:8" x14ac:dyDescent="0.3">
      <c r="A247" t="s">
        <v>480</v>
      </c>
      <c r="B247">
        <v>128</v>
      </c>
      <c r="C247">
        <v>228</v>
      </c>
      <c r="D247">
        <v>177</v>
      </c>
      <c r="E247" s="1">
        <v>8133</v>
      </c>
      <c r="F247">
        <v>202</v>
      </c>
      <c r="G247" s="2">
        <f t="shared" si="6"/>
        <v>45314</v>
      </c>
      <c r="H247">
        <f t="shared" si="7"/>
        <v>1</v>
      </c>
    </row>
    <row r="248" spans="1:8" x14ac:dyDescent="0.3">
      <c r="A248" t="s">
        <v>479</v>
      </c>
      <c r="B248">
        <v>90</v>
      </c>
      <c r="C248">
        <v>196</v>
      </c>
      <c r="D248">
        <v>205</v>
      </c>
      <c r="E248" s="1">
        <v>8212</v>
      </c>
      <c r="F248">
        <v>243</v>
      </c>
      <c r="G248" s="2">
        <f t="shared" si="6"/>
        <v>45315</v>
      </c>
      <c r="H248">
        <f t="shared" si="7"/>
        <v>1</v>
      </c>
    </row>
    <row r="249" spans="1:8" x14ac:dyDescent="0.3">
      <c r="A249" t="s">
        <v>478</v>
      </c>
      <c r="B249">
        <v>102</v>
      </c>
      <c r="C249">
        <v>189</v>
      </c>
      <c r="D249">
        <v>155</v>
      </c>
      <c r="E249" s="1">
        <v>8180</v>
      </c>
      <c r="F249">
        <v>293</v>
      </c>
      <c r="G249" s="2">
        <f t="shared" si="6"/>
        <v>45316</v>
      </c>
      <c r="H249">
        <f t="shared" si="7"/>
        <v>1</v>
      </c>
    </row>
    <row r="250" spans="1:8" x14ac:dyDescent="0.3">
      <c r="A250" t="s">
        <v>477</v>
      </c>
      <c r="B250">
        <v>120</v>
      </c>
      <c r="C250">
        <v>257</v>
      </c>
      <c r="D250">
        <v>126</v>
      </c>
      <c r="E250" s="1">
        <v>8004</v>
      </c>
      <c r="F250">
        <v>307</v>
      </c>
      <c r="G250" s="2">
        <f t="shared" si="6"/>
        <v>45319</v>
      </c>
      <c r="H250">
        <f t="shared" si="7"/>
        <v>3</v>
      </c>
    </row>
    <row r="251" spans="1:8" x14ac:dyDescent="0.3">
      <c r="A251" t="s">
        <v>476</v>
      </c>
      <c r="B251">
        <v>137</v>
      </c>
      <c r="C251">
        <v>272</v>
      </c>
      <c r="D251">
        <v>166</v>
      </c>
      <c r="E251" s="1">
        <v>8057</v>
      </c>
      <c r="F251">
        <v>195</v>
      </c>
      <c r="G251" s="2">
        <f t="shared" si="6"/>
        <v>45320</v>
      </c>
      <c r="H251">
        <f t="shared" si="7"/>
        <v>1</v>
      </c>
    </row>
    <row r="252" spans="1:8" x14ac:dyDescent="0.3">
      <c r="A252" t="s">
        <v>475</v>
      </c>
      <c r="B252">
        <v>93</v>
      </c>
      <c r="C252">
        <v>198</v>
      </c>
      <c r="D252">
        <v>208</v>
      </c>
      <c r="E252" s="1">
        <v>8182</v>
      </c>
      <c r="F252">
        <v>187</v>
      </c>
      <c r="G252" s="2">
        <f t="shared" si="6"/>
        <v>45321</v>
      </c>
      <c r="H252">
        <f t="shared" si="7"/>
        <v>1</v>
      </c>
    </row>
    <row r="253" spans="1:8" x14ac:dyDescent="0.3">
      <c r="A253" t="s">
        <v>474</v>
      </c>
      <c r="B253">
        <v>203</v>
      </c>
      <c r="C253">
        <v>477</v>
      </c>
      <c r="D253">
        <v>258</v>
      </c>
      <c r="E253" s="1">
        <v>8153</v>
      </c>
      <c r="F253">
        <v>266</v>
      </c>
      <c r="G253" s="2">
        <f t="shared" si="6"/>
        <v>45322</v>
      </c>
      <c r="H253">
        <f t="shared" si="7"/>
        <v>1</v>
      </c>
    </row>
    <row r="254" spans="1:8" x14ac:dyDescent="0.3">
      <c r="A254" t="s">
        <v>473</v>
      </c>
      <c r="B254">
        <v>222</v>
      </c>
      <c r="C254">
        <v>459</v>
      </c>
      <c r="D254">
        <v>289</v>
      </c>
      <c r="E254" s="1">
        <v>8026</v>
      </c>
      <c r="F254">
        <v>337</v>
      </c>
      <c r="G254" s="2">
        <f t="shared" si="6"/>
        <v>45323</v>
      </c>
      <c r="H254">
        <f t="shared" si="7"/>
        <v>1</v>
      </c>
    </row>
    <row r="255" spans="1:8" x14ac:dyDescent="0.3">
      <c r="A255" t="s">
        <v>472</v>
      </c>
      <c r="B255">
        <v>253</v>
      </c>
      <c r="C255">
        <v>531</v>
      </c>
      <c r="D255">
        <v>248</v>
      </c>
      <c r="E255" s="1">
        <v>7813</v>
      </c>
      <c r="F255">
        <v>342</v>
      </c>
      <c r="G255" s="2">
        <f t="shared" si="6"/>
        <v>45326</v>
      </c>
      <c r="H255">
        <f t="shared" si="7"/>
        <v>3</v>
      </c>
    </row>
    <row r="256" spans="1:8" x14ac:dyDescent="0.3">
      <c r="A256" t="s">
        <v>471</v>
      </c>
      <c r="B256">
        <v>157</v>
      </c>
      <c r="C256">
        <v>466</v>
      </c>
      <c r="D256">
        <v>345</v>
      </c>
      <c r="E256" s="1">
        <v>7872</v>
      </c>
      <c r="F256">
        <v>242</v>
      </c>
      <c r="G256" s="2">
        <f t="shared" si="6"/>
        <v>45327</v>
      </c>
      <c r="H256">
        <f t="shared" si="7"/>
        <v>1</v>
      </c>
    </row>
    <row r="257" spans="1:8" x14ac:dyDescent="0.3">
      <c r="A257" t="s">
        <v>470</v>
      </c>
      <c r="B257">
        <v>291</v>
      </c>
      <c r="C257">
        <v>455</v>
      </c>
      <c r="D257">
        <v>323</v>
      </c>
      <c r="E257" s="1">
        <v>8045</v>
      </c>
      <c r="F257">
        <v>178</v>
      </c>
      <c r="G257" s="2">
        <f t="shared" si="6"/>
        <v>45328</v>
      </c>
      <c r="H257">
        <f t="shared" si="7"/>
        <v>1</v>
      </c>
    </row>
    <row r="258" spans="1:8" x14ac:dyDescent="0.3">
      <c r="A258" t="s">
        <v>469</v>
      </c>
      <c r="B258">
        <v>227</v>
      </c>
      <c r="C258">
        <v>453</v>
      </c>
      <c r="D258">
        <v>330</v>
      </c>
      <c r="E258" s="1">
        <v>8160</v>
      </c>
      <c r="F258">
        <v>222</v>
      </c>
      <c r="G258" s="2">
        <f t="shared" ref="G258:G321" si="8">DATE(VALUE(RIGHT(A258,4)),MONTH(DATEVALUE(LEFT(A258,FIND(" ",A258)-1)&amp;"1")),VALUE(MID(A258,FIND(" ",A258)+1,FIND(",",A258)-FIND(" ",A258)-1)))</f>
        <v>45329</v>
      </c>
      <c r="H258">
        <f t="shared" si="7"/>
        <v>1</v>
      </c>
    </row>
    <row r="259" spans="1:8" x14ac:dyDescent="0.3">
      <c r="A259" t="s">
        <v>468</v>
      </c>
      <c r="B259">
        <v>298</v>
      </c>
      <c r="C259">
        <v>499</v>
      </c>
      <c r="D259">
        <v>358</v>
      </c>
      <c r="E259" s="1">
        <v>8188</v>
      </c>
      <c r="F259">
        <v>315</v>
      </c>
      <c r="G259" s="2">
        <f t="shared" si="8"/>
        <v>45330</v>
      </c>
      <c r="H259">
        <f t="shared" si="7"/>
        <v>1</v>
      </c>
    </row>
    <row r="260" spans="1:8" x14ac:dyDescent="0.3">
      <c r="A260" t="s">
        <v>467</v>
      </c>
      <c r="B260">
        <v>205</v>
      </c>
      <c r="C260">
        <v>515</v>
      </c>
      <c r="D260">
        <v>226</v>
      </c>
      <c r="E260" s="1">
        <v>8056</v>
      </c>
      <c r="F260">
        <v>347</v>
      </c>
      <c r="G260" s="2">
        <f t="shared" si="8"/>
        <v>45333</v>
      </c>
      <c r="H260">
        <f t="shared" ref="H260:H323" si="9">G260-G259</f>
        <v>3</v>
      </c>
    </row>
    <row r="261" spans="1:8" x14ac:dyDescent="0.3">
      <c r="A261" t="s">
        <v>466</v>
      </c>
      <c r="B261">
        <v>213</v>
      </c>
      <c r="C261">
        <v>430</v>
      </c>
      <c r="D261">
        <v>440</v>
      </c>
      <c r="E261" s="1">
        <v>8092</v>
      </c>
      <c r="F261">
        <v>234</v>
      </c>
      <c r="G261" s="2">
        <f t="shared" si="8"/>
        <v>45334</v>
      </c>
      <c r="H261">
        <f t="shared" si="9"/>
        <v>1</v>
      </c>
    </row>
    <row r="262" spans="1:8" x14ac:dyDescent="0.3">
      <c r="A262" t="s">
        <v>465</v>
      </c>
      <c r="B262">
        <v>227</v>
      </c>
      <c r="C262">
        <v>369</v>
      </c>
      <c r="D262">
        <v>349</v>
      </c>
      <c r="E262" s="1">
        <v>8348</v>
      </c>
      <c r="F262">
        <v>160</v>
      </c>
      <c r="G262" s="2">
        <f t="shared" si="8"/>
        <v>45335</v>
      </c>
      <c r="H262">
        <f t="shared" si="9"/>
        <v>1</v>
      </c>
    </row>
    <row r="263" spans="1:8" x14ac:dyDescent="0.3">
      <c r="A263" t="s">
        <v>464</v>
      </c>
      <c r="B263">
        <v>185</v>
      </c>
      <c r="C263">
        <v>322</v>
      </c>
      <c r="D263">
        <v>272</v>
      </c>
      <c r="E263" s="1">
        <v>8512</v>
      </c>
      <c r="F263">
        <v>230</v>
      </c>
      <c r="G263" s="2">
        <f t="shared" si="8"/>
        <v>45336</v>
      </c>
      <c r="H263">
        <f t="shared" si="9"/>
        <v>1</v>
      </c>
    </row>
    <row r="264" spans="1:8" x14ac:dyDescent="0.3">
      <c r="A264" t="s">
        <v>463</v>
      </c>
      <c r="B264">
        <v>333</v>
      </c>
      <c r="C264">
        <v>508</v>
      </c>
      <c r="D264">
        <v>272</v>
      </c>
      <c r="E264" s="1">
        <v>8463</v>
      </c>
      <c r="F264">
        <v>312</v>
      </c>
      <c r="G264" s="2">
        <f t="shared" si="8"/>
        <v>45337</v>
      </c>
      <c r="H264">
        <f t="shared" si="9"/>
        <v>1</v>
      </c>
    </row>
    <row r="265" spans="1:8" x14ac:dyDescent="0.3">
      <c r="A265" t="s">
        <v>462</v>
      </c>
      <c r="B265">
        <v>249</v>
      </c>
      <c r="C265">
        <v>420</v>
      </c>
      <c r="D265">
        <v>371</v>
      </c>
      <c r="E265" s="1">
        <v>8380</v>
      </c>
      <c r="F265">
        <v>218</v>
      </c>
      <c r="G265" s="2">
        <f t="shared" si="8"/>
        <v>45341</v>
      </c>
      <c r="H265">
        <f t="shared" si="9"/>
        <v>4</v>
      </c>
    </row>
    <row r="266" spans="1:8" x14ac:dyDescent="0.3">
      <c r="A266" t="s">
        <v>461</v>
      </c>
      <c r="B266">
        <v>149</v>
      </c>
      <c r="C266">
        <v>395</v>
      </c>
      <c r="D266">
        <v>273</v>
      </c>
      <c r="E266" s="1">
        <v>8488</v>
      </c>
      <c r="F266">
        <v>192</v>
      </c>
      <c r="G266" s="2">
        <f t="shared" si="8"/>
        <v>45342</v>
      </c>
      <c r="H266">
        <f t="shared" si="9"/>
        <v>1</v>
      </c>
    </row>
    <row r="267" spans="1:8" x14ac:dyDescent="0.3">
      <c r="A267" t="s">
        <v>460</v>
      </c>
      <c r="B267">
        <v>232</v>
      </c>
      <c r="C267">
        <v>430</v>
      </c>
      <c r="D267">
        <v>318</v>
      </c>
      <c r="E267" s="1">
        <v>8573</v>
      </c>
      <c r="F267">
        <v>231</v>
      </c>
      <c r="G267" s="2">
        <f t="shared" si="8"/>
        <v>45343</v>
      </c>
      <c r="H267">
        <f t="shared" si="9"/>
        <v>1</v>
      </c>
    </row>
    <row r="268" spans="1:8" x14ac:dyDescent="0.3">
      <c r="A268" t="s">
        <v>459</v>
      </c>
      <c r="B268">
        <v>165</v>
      </c>
      <c r="C268">
        <v>400</v>
      </c>
      <c r="D268">
        <v>292</v>
      </c>
      <c r="E268" s="1">
        <v>8607</v>
      </c>
      <c r="F268">
        <v>293</v>
      </c>
      <c r="G268" s="2">
        <f t="shared" si="8"/>
        <v>45344</v>
      </c>
      <c r="H268">
        <f t="shared" si="9"/>
        <v>1</v>
      </c>
    </row>
    <row r="269" spans="1:8" x14ac:dyDescent="0.3">
      <c r="A269" t="s">
        <v>458</v>
      </c>
      <c r="B269">
        <v>244</v>
      </c>
      <c r="C269">
        <v>482</v>
      </c>
      <c r="D269">
        <v>366</v>
      </c>
      <c r="E269" s="1">
        <v>8404</v>
      </c>
      <c r="F269">
        <v>329</v>
      </c>
      <c r="G269" s="2">
        <f t="shared" si="8"/>
        <v>45347</v>
      </c>
      <c r="H269">
        <f t="shared" si="9"/>
        <v>3</v>
      </c>
    </row>
    <row r="270" spans="1:8" x14ac:dyDescent="0.3">
      <c r="A270" t="s">
        <v>457</v>
      </c>
      <c r="B270">
        <v>199</v>
      </c>
      <c r="C270">
        <v>438</v>
      </c>
      <c r="D270">
        <v>326</v>
      </c>
      <c r="E270" s="1">
        <v>8404</v>
      </c>
      <c r="F270">
        <v>329</v>
      </c>
      <c r="G270" s="2">
        <f t="shared" si="8"/>
        <v>45348</v>
      </c>
      <c r="H270">
        <f t="shared" si="9"/>
        <v>1</v>
      </c>
    </row>
    <row r="271" spans="1:8" x14ac:dyDescent="0.3">
      <c r="A271" t="s">
        <v>456</v>
      </c>
      <c r="B271">
        <v>197</v>
      </c>
      <c r="C271">
        <v>369</v>
      </c>
      <c r="D271">
        <v>306</v>
      </c>
      <c r="E271" s="1">
        <v>8650</v>
      </c>
      <c r="F271">
        <v>206</v>
      </c>
      <c r="G271" s="2">
        <f t="shared" si="8"/>
        <v>45349</v>
      </c>
      <c r="H271">
        <f t="shared" si="9"/>
        <v>1</v>
      </c>
    </row>
    <row r="272" spans="1:8" x14ac:dyDescent="0.3">
      <c r="A272" t="s">
        <v>455</v>
      </c>
      <c r="B272">
        <v>209</v>
      </c>
      <c r="C272">
        <v>447</v>
      </c>
      <c r="D272">
        <v>274</v>
      </c>
      <c r="E272" s="1">
        <v>8699</v>
      </c>
      <c r="F272">
        <v>257</v>
      </c>
      <c r="G272" s="2">
        <f t="shared" si="8"/>
        <v>45350</v>
      </c>
      <c r="H272">
        <f t="shared" si="9"/>
        <v>1</v>
      </c>
    </row>
    <row r="273" spans="1:8" x14ac:dyDescent="0.3">
      <c r="A273" t="s">
        <v>454</v>
      </c>
      <c r="B273">
        <v>262</v>
      </c>
      <c r="C273">
        <v>444</v>
      </c>
      <c r="D273">
        <v>354</v>
      </c>
      <c r="E273" s="1">
        <v>8724</v>
      </c>
      <c r="F273">
        <v>299</v>
      </c>
      <c r="G273" s="2">
        <f t="shared" si="8"/>
        <v>45351</v>
      </c>
      <c r="H273">
        <f t="shared" si="9"/>
        <v>1</v>
      </c>
    </row>
    <row r="274" spans="1:8" x14ac:dyDescent="0.3">
      <c r="A274" t="s">
        <v>453</v>
      </c>
      <c r="B274">
        <v>236</v>
      </c>
      <c r="C274">
        <v>468</v>
      </c>
      <c r="D274">
        <v>347</v>
      </c>
      <c r="E274" s="1">
        <v>8594</v>
      </c>
      <c r="F274">
        <v>354</v>
      </c>
      <c r="G274" s="2">
        <f t="shared" si="8"/>
        <v>45354</v>
      </c>
      <c r="H274">
        <f t="shared" si="9"/>
        <v>3</v>
      </c>
    </row>
    <row r="275" spans="1:8" x14ac:dyDescent="0.3">
      <c r="A275" t="s">
        <v>452</v>
      </c>
      <c r="B275">
        <v>225</v>
      </c>
      <c r="C275">
        <v>509</v>
      </c>
      <c r="D275">
        <v>340</v>
      </c>
      <c r="E275" s="1">
        <v>8660</v>
      </c>
      <c r="F275">
        <v>229</v>
      </c>
      <c r="G275" s="2">
        <f t="shared" si="8"/>
        <v>45355</v>
      </c>
      <c r="H275">
        <f t="shared" si="9"/>
        <v>1</v>
      </c>
    </row>
    <row r="276" spans="1:8" x14ac:dyDescent="0.3">
      <c r="A276" t="s">
        <v>451</v>
      </c>
      <c r="B276">
        <v>246</v>
      </c>
      <c r="C276">
        <v>472</v>
      </c>
      <c r="D276">
        <v>345</v>
      </c>
      <c r="E276" s="1">
        <v>8800</v>
      </c>
      <c r="F276">
        <v>214</v>
      </c>
      <c r="G276" s="2">
        <f t="shared" si="8"/>
        <v>45356</v>
      </c>
      <c r="H276">
        <f t="shared" si="9"/>
        <v>1</v>
      </c>
    </row>
    <row r="277" spans="1:8" x14ac:dyDescent="0.3">
      <c r="A277" t="s">
        <v>450</v>
      </c>
      <c r="B277">
        <v>230</v>
      </c>
      <c r="C277">
        <v>457</v>
      </c>
      <c r="D277">
        <v>277</v>
      </c>
      <c r="E277" s="1">
        <v>8870</v>
      </c>
      <c r="F277">
        <v>232</v>
      </c>
      <c r="G277" s="2">
        <f t="shared" si="8"/>
        <v>45357</v>
      </c>
      <c r="H277">
        <f t="shared" si="9"/>
        <v>1</v>
      </c>
    </row>
    <row r="278" spans="1:8" x14ac:dyDescent="0.3">
      <c r="A278" t="s">
        <v>449</v>
      </c>
      <c r="B278">
        <v>181</v>
      </c>
      <c r="C278">
        <v>424</v>
      </c>
      <c r="D278">
        <v>328</v>
      </c>
      <c r="E278" s="1">
        <v>8902</v>
      </c>
      <c r="F278">
        <v>305</v>
      </c>
      <c r="G278" s="2">
        <f t="shared" si="8"/>
        <v>45358</v>
      </c>
      <c r="H278">
        <f t="shared" si="9"/>
        <v>1</v>
      </c>
    </row>
    <row r="279" spans="1:8" x14ac:dyDescent="0.3">
      <c r="A279" t="s">
        <v>448</v>
      </c>
      <c r="B279">
        <v>190</v>
      </c>
      <c r="C279">
        <v>368</v>
      </c>
      <c r="D279">
        <v>326</v>
      </c>
      <c r="E279" s="1">
        <v>8714</v>
      </c>
      <c r="F279">
        <v>373</v>
      </c>
      <c r="G279" s="2">
        <f t="shared" si="8"/>
        <v>45361</v>
      </c>
      <c r="H279">
        <f t="shared" si="9"/>
        <v>3</v>
      </c>
    </row>
    <row r="280" spans="1:8" x14ac:dyDescent="0.3">
      <c r="A280" t="s">
        <v>447</v>
      </c>
      <c r="B280">
        <v>178</v>
      </c>
      <c r="C280">
        <v>336</v>
      </c>
      <c r="D280">
        <v>290</v>
      </c>
      <c r="E280" s="1">
        <v>8757</v>
      </c>
      <c r="F280">
        <v>253</v>
      </c>
      <c r="G280" s="2">
        <f t="shared" si="8"/>
        <v>45362</v>
      </c>
      <c r="H280">
        <f t="shared" si="9"/>
        <v>1</v>
      </c>
    </row>
    <row r="281" spans="1:8" x14ac:dyDescent="0.3">
      <c r="A281" t="s">
        <v>446</v>
      </c>
      <c r="B281">
        <v>154</v>
      </c>
      <c r="C281">
        <v>294</v>
      </c>
      <c r="D281">
        <v>290</v>
      </c>
      <c r="E281" s="1">
        <v>8843</v>
      </c>
      <c r="F281">
        <v>213</v>
      </c>
      <c r="G281" s="2">
        <f t="shared" si="8"/>
        <v>45363</v>
      </c>
      <c r="H281">
        <f t="shared" si="9"/>
        <v>1</v>
      </c>
    </row>
    <row r="282" spans="1:8" x14ac:dyDescent="0.3">
      <c r="A282" t="s">
        <v>445</v>
      </c>
      <c r="B282">
        <v>165</v>
      </c>
      <c r="C282">
        <v>358</v>
      </c>
      <c r="D282">
        <v>167</v>
      </c>
      <c r="E282" s="1">
        <v>8819</v>
      </c>
      <c r="F282">
        <v>239</v>
      </c>
      <c r="G282" s="2">
        <f t="shared" si="8"/>
        <v>45364</v>
      </c>
      <c r="H282">
        <f t="shared" si="9"/>
        <v>1</v>
      </c>
    </row>
    <row r="283" spans="1:8" x14ac:dyDescent="0.3">
      <c r="A283" t="s">
        <v>444</v>
      </c>
      <c r="B283">
        <v>166</v>
      </c>
      <c r="C283">
        <v>301</v>
      </c>
      <c r="D283">
        <v>252</v>
      </c>
      <c r="E283" s="1">
        <v>8695</v>
      </c>
      <c r="F283">
        <v>310</v>
      </c>
      <c r="G283" s="2">
        <f t="shared" si="8"/>
        <v>45365</v>
      </c>
      <c r="H283">
        <f t="shared" si="9"/>
        <v>1</v>
      </c>
    </row>
    <row r="284" spans="1:8" x14ac:dyDescent="0.3">
      <c r="A284" t="s">
        <v>443</v>
      </c>
      <c r="B284">
        <v>127</v>
      </c>
      <c r="C284">
        <v>260</v>
      </c>
      <c r="D284">
        <v>259</v>
      </c>
      <c r="E284" s="1">
        <v>8373</v>
      </c>
      <c r="F284">
        <v>342</v>
      </c>
      <c r="G284" s="2">
        <f t="shared" si="8"/>
        <v>45368</v>
      </c>
      <c r="H284">
        <f t="shared" si="9"/>
        <v>3</v>
      </c>
    </row>
    <row r="285" spans="1:8" x14ac:dyDescent="0.3">
      <c r="A285" t="s">
        <v>442</v>
      </c>
      <c r="B285">
        <v>123</v>
      </c>
      <c r="C285">
        <v>243</v>
      </c>
      <c r="D285">
        <v>188</v>
      </c>
      <c r="E285" s="1">
        <v>8333</v>
      </c>
      <c r="F285">
        <v>283</v>
      </c>
      <c r="G285" s="2">
        <f t="shared" si="8"/>
        <v>45369</v>
      </c>
      <c r="H285">
        <f t="shared" si="9"/>
        <v>1</v>
      </c>
    </row>
    <row r="286" spans="1:8" x14ac:dyDescent="0.3">
      <c r="A286" t="s">
        <v>441</v>
      </c>
      <c r="B286">
        <v>99</v>
      </c>
      <c r="C286">
        <v>202</v>
      </c>
      <c r="D286">
        <v>256</v>
      </c>
      <c r="E286" s="1">
        <v>8390</v>
      </c>
      <c r="F286">
        <v>197</v>
      </c>
      <c r="G286" s="2">
        <f t="shared" si="8"/>
        <v>45370</v>
      </c>
      <c r="H286">
        <f t="shared" si="9"/>
        <v>1</v>
      </c>
    </row>
    <row r="287" spans="1:8" x14ac:dyDescent="0.3">
      <c r="A287" t="s">
        <v>440</v>
      </c>
      <c r="B287">
        <v>91</v>
      </c>
      <c r="C287">
        <v>181</v>
      </c>
      <c r="D287">
        <v>174</v>
      </c>
      <c r="E287" s="1">
        <v>8365</v>
      </c>
      <c r="F287">
        <v>227</v>
      </c>
      <c r="G287" s="2">
        <f t="shared" si="8"/>
        <v>45371</v>
      </c>
      <c r="H287">
        <f t="shared" si="9"/>
        <v>1</v>
      </c>
    </row>
    <row r="288" spans="1:8" x14ac:dyDescent="0.3">
      <c r="A288" t="s">
        <v>439</v>
      </c>
      <c r="B288">
        <v>132</v>
      </c>
      <c r="C288">
        <v>261</v>
      </c>
      <c r="D288">
        <v>141</v>
      </c>
      <c r="E288" s="1">
        <v>8292</v>
      </c>
      <c r="F288">
        <v>235</v>
      </c>
      <c r="G288" s="2">
        <f t="shared" si="8"/>
        <v>45372</v>
      </c>
      <c r="H288">
        <f t="shared" si="9"/>
        <v>1</v>
      </c>
    </row>
    <row r="289" spans="1:8" x14ac:dyDescent="0.3">
      <c r="A289" t="s">
        <v>438</v>
      </c>
      <c r="B289">
        <v>124</v>
      </c>
      <c r="C289">
        <v>264</v>
      </c>
      <c r="D289">
        <v>221</v>
      </c>
      <c r="E289" s="1">
        <v>7899</v>
      </c>
      <c r="F289">
        <v>373</v>
      </c>
      <c r="G289" s="2">
        <f t="shared" si="8"/>
        <v>45375</v>
      </c>
      <c r="H289">
        <f t="shared" si="9"/>
        <v>3</v>
      </c>
    </row>
    <row r="290" spans="1:8" x14ac:dyDescent="0.3">
      <c r="A290" t="s">
        <v>437</v>
      </c>
      <c r="B290">
        <v>128</v>
      </c>
      <c r="C290">
        <v>242</v>
      </c>
      <c r="D290">
        <v>224</v>
      </c>
      <c r="E290" s="1">
        <v>7899</v>
      </c>
      <c r="F290">
        <v>229</v>
      </c>
      <c r="G290" s="2">
        <f t="shared" si="8"/>
        <v>45376</v>
      </c>
      <c r="H290">
        <f t="shared" si="9"/>
        <v>1</v>
      </c>
    </row>
    <row r="291" spans="1:8" x14ac:dyDescent="0.3">
      <c r="A291" t="s">
        <v>436</v>
      </c>
      <c r="B291">
        <v>187</v>
      </c>
      <c r="C291">
        <v>276</v>
      </c>
      <c r="D291">
        <v>200</v>
      </c>
      <c r="E291" s="1">
        <v>7919</v>
      </c>
      <c r="F291">
        <v>208</v>
      </c>
      <c r="G291" s="2">
        <f t="shared" si="8"/>
        <v>45377</v>
      </c>
      <c r="H291">
        <f t="shared" si="9"/>
        <v>1</v>
      </c>
    </row>
    <row r="292" spans="1:8" x14ac:dyDescent="0.3">
      <c r="A292" t="s">
        <v>435</v>
      </c>
      <c r="B292">
        <v>129</v>
      </c>
      <c r="C292">
        <v>287</v>
      </c>
      <c r="D292">
        <v>185</v>
      </c>
      <c r="E292" s="1">
        <v>7893</v>
      </c>
      <c r="F292">
        <v>215</v>
      </c>
      <c r="G292" s="2">
        <f t="shared" si="8"/>
        <v>45378</v>
      </c>
      <c r="H292">
        <f t="shared" si="9"/>
        <v>1</v>
      </c>
    </row>
    <row r="293" spans="1:8" x14ac:dyDescent="0.3">
      <c r="A293" t="s">
        <v>434</v>
      </c>
      <c r="B293">
        <v>161</v>
      </c>
      <c r="C293">
        <v>288</v>
      </c>
      <c r="D293">
        <v>248</v>
      </c>
      <c r="E293" s="1">
        <v>7762</v>
      </c>
      <c r="F293">
        <v>360</v>
      </c>
      <c r="G293" s="2">
        <f t="shared" si="8"/>
        <v>45379</v>
      </c>
      <c r="H293">
        <f t="shared" si="9"/>
        <v>1</v>
      </c>
    </row>
    <row r="294" spans="1:8" x14ac:dyDescent="0.3">
      <c r="A294" t="s">
        <v>433</v>
      </c>
      <c r="B294">
        <v>105</v>
      </c>
      <c r="C294">
        <v>254</v>
      </c>
      <c r="D294">
        <v>151</v>
      </c>
      <c r="E294" s="1">
        <v>7257</v>
      </c>
      <c r="F294">
        <v>287</v>
      </c>
      <c r="G294" s="2">
        <f t="shared" si="8"/>
        <v>45382</v>
      </c>
      <c r="H294">
        <f t="shared" si="9"/>
        <v>3</v>
      </c>
    </row>
    <row r="295" spans="1:8" x14ac:dyDescent="0.3">
      <c r="A295" t="s">
        <v>432</v>
      </c>
      <c r="B295">
        <v>109</v>
      </c>
      <c r="C295">
        <v>235</v>
      </c>
      <c r="D295">
        <v>171</v>
      </c>
      <c r="E295" s="1">
        <v>7271</v>
      </c>
      <c r="F295">
        <v>172</v>
      </c>
      <c r="G295" s="2">
        <f t="shared" si="8"/>
        <v>45383</v>
      </c>
      <c r="H295">
        <f t="shared" si="9"/>
        <v>1</v>
      </c>
    </row>
    <row r="296" spans="1:8" x14ac:dyDescent="0.3">
      <c r="A296" t="s">
        <v>431</v>
      </c>
      <c r="B296">
        <v>101</v>
      </c>
      <c r="C296">
        <v>230</v>
      </c>
      <c r="D296">
        <v>175</v>
      </c>
      <c r="E296" s="1">
        <v>7340</v>
      </c>
      <c r="F296">
        <v>132</v>
      </c>
      <c r="G296" s="2">
        <f t="shared" si="8"/>
        <v>45384</v>
      </c>
      <c r="H296">
        <f t="shared" si="9"/>
        <v>1</v>
      </c>
    </row>
    <row r="297" spans="1:8" x14ac:dyDescent="0.3">
      <c r="A297" t="s">
        <v>430</v>
      </c>
      <c r="B297">
        <v>124</v>
      </c>
      <c r="C297">
        <v>230</v>
      </c>
      <c r="D297">
        <v>190</v>
      </c>
      <c r="E297" s="1">
        <v>7346</v>
      </c>
      <c r="F297">
        <v>163</v>
      </c>
      <c r="G297" s="2">
        <f t="shared" si="8"/>
        <v>45385</v>
      </c>
      <c r="H297">
        <f t="shared" si="9"/>
        <v>1</v>
      </c>
    </row>
    <row r="298" spans="1:8" x14ac:dyDescent="0.3">
      <c r="A298" t="s">
        <v>429</v>
      </c>
      <c r="B298">
        <v>95</v>
      </c>
      <c r="C298">
        <v>226</v>
      </c>
      <c r="D298">
        <v>152</v>
      </c>
      <c r="E298" s="1">
        <v>7317</v>
      </c>
      <c r="F298">
        <v>225</v>
      </c>
      <c r="G298" s="2">
        <f t="shared" si="8"/>
        <v>45386</v>
      </c>
      <c r="H298">
        <f t="shared" si="9"/>
        <v>1</v>
      </c>
    </row>
    <row r="299" spans="1:8" x14ac:dyDescent="0.3">
      <c r="A299" t="s">
        <v>428</v>
      </c>
      <c r="B299">
        <v>106</v>
      </c>
      <c r="C299">
        <v>239</v>
      </c>
      <c r="D299">
        <v>233</v>
      </c>
      <c r="E299" s="1">
        <v>6982</v>
      </c>
      <c r="F299">
        <v>279</v>
      </c>
      <c r="G299" s="2">
        <f t="shared" si="8"/>
        <v>45389</v>
      </c>
      <c r="H299">
        <f t="shared" si="9"/>
        <v>3</v>
      </c>
    </row>
    <row r="300" spans="1:8" x14ac:dyDescent="0.3">
      <c r="A300" t="s">
        <v>427</v>
      </c>
      <c r="B300">
        <v>102</v>
      </c>
      <c r="C300">
        <v>230</v>
      </c>
      <c r="D300">
        <v>167</v>
      </c>
      <c r="E300" s="1">
        <v>6988</v>
      </c>
      <c r="F300">
        <v>199</v>
      </c>
      <c r="G300" s="2">
        <f t="shared" si="8"/>
        <v>45390</v>
      </c>
      <c r="H300">
        <f t="shared" si="9"/>
        <v>1</v>
      </c>
    </row>
    <row r="301" spans="1:8" x14ac:dyDescent="0.3">
      <c r="A301" t="s">
        <v>426</v>
      </c>
      <c r="B301">
        <v>118</v>
      </c>
      <c r="C301">
        <v>231</v>
      </c>
      <c r="D301">
        <v>217</v>
      </c>
      <c r="E301" s="1">
        <v>7043</v>
      </c>
      <c r="F301">
        <v>130</v>
      </c>
      <c r="G301" s="2">
        <f t="shared" si="8"/>
        <v>45391</v>
      </c>
      <c r="H301">
        <f t="shared" si="9"/>
        <v>1</v>
      </c>
    </row>
    <row r="302" spans="1:8" x14ac:dyDescent="0.3">
      <c r="A302" t="s">
        <v>425</v>
      </c>
      <c r="B302">
        <v>117</v>
      </c>
      <c r="C302">
        <v>244</v>
      </c>
      <c r="D302">
        <v>142</v>
      </c>
      <c r="E302" s="1">
        <v>6999</v>
      </c>
      <c r="F302">
        <v>227</v>
      </c>
      <c r="G302" s="2">
        <f t="shared" si="8"/>
        <v>45392</v>
      </c>
      <c r="H302">
        <f t="shared" si="9"/>
        <v>1</v>
      </c>
    </row>
    <row r="303" spans="1:8" x14ac:dyDescent="0.3">
      <c r="A303" t="s">
        <v>424</v>
      </c>
      <c r="B303">
        <v>183</v>
      </c>
      <c r="C303">
        <v>221</v>
      </c>
      <c r="D303">
        <v>220</v>
      </c>
      <c r="E303" s="1">
        <v>6912</v>
      </c>
      <c r="F303">
        <v>285</v>
      </c>
      <c r="G303" s="2">
        <f t="shared" si="8"/>
        <v>45393</v>
      </c>
      <c r="H303">
        <f t="shared" si="9"/>
        <v>1</v>
      </c>
    </row>
    <row r="304" spans="1:8" x14ac:dyDescent="0.3">
      <c r="A304" t="s">
        <v>423</v>
      </c>
      <c r="B304">
        <v>128</v>
      </c>
      <c r="C304">
        <v>245</v>
      </c>
      <c r="D304">
        <v>243</v>
      </c>
      <c r="E304" s="1">
        <v>6630</v>
      </c>
      <c r="F304">
        <v>290</v>
      </c>
      <c r="G304" s="2">
        <f t="shared" si="8"/>
        <v>45396</v>
      </c>
      <c r="H304">
        <f t="shared" si="9"/>
        <v>3</v>
      </c>
    </row>
    <row r="305" spans="1:8" x14ac:dyDescent="0.3">
      <c r="A305" t="s">
        <v>422</v>
      </c>
      <c r="B305">
        <v>144</v>
      </c>
      <c r="C305">
        <v>303</v>
      </c>
      <c r="D305">
        <v>176</v>
      </c>
      <c r="E305" s="1">
        <v>6681</v>
      </c>
      <c r="F305">
        <v>191</v>
      </c>
      <c r="G305" s="2">
        <f t="shared" si="8"/>
        <v>45397</v>
      </c>
      <c r="H305">
        <f t="shared" si="9"/>
        <v>1</v>
      </c>
    </row>
    <row r="306" spans="1:8" x14ac:dyDescent="0.3">
      <c r="A306" t="s">
        <v>421</v>
      </c>
      <c r="B306">
        <v>219</v>
      </c>
      <c r="C306">
        <v>392</v>
      </c>
      <c r="D306">
        <v>205</v>
      </c>
      <c r="E306" s="1">
        <v>6685</v>
      </c>
      <c r="F306">
        <v>163</v>
      </c>
      <c r="G306" s="2">
        <f t="shared" si="8"/>
        <v>45398</v>
      </c>
      <c r="H306">
        <f t="shared" si="9"/>
        <v>1</v>
      </c>
    </row>
    <row r="307" spans="1:8" x14ac:dyDescent="0.3">
      <c r="A307" t="s">
        <v>420</v>
      </c>
      <c r="B307">
        <v>182</v>
      </c>
      <c r="C307">
        <v>371</v>
      </c>
      <c r="D307">
        <v>274</v>
      </c>
      <c r="E307" s="1">
        <v>6725</v>
      </c>
      <c r="F307">
        <v>227</v>
      </c>
      <c r="G307" s="2">
        <f t="shared" si="8"/>
        <v>45399</v>
      </c>
      <c r="H307">
        <f t="shared" si="9"/>
        <v>1</v>
      </c>
    </row>
    <row r="308" spans="1:8" x14ac:dyDescent="0.3">
      <c r="A308" t="s">
        <v>419</v>
      </c>
      <c r="B308">
        <v>144</v>
      </c>
      <c r="C308">
        <v>322</v>
      </c>
      <c r="D308">
        <v>258</v>
      </c>
      <c r="E308" s="1">
        <v>6728</v>
      </c>
      <c r="F308">
        <v>260</v>
      </c>
      <c r="G308" s="2">
        <f t="shared" si="8"/>
        <v>45400</v>
      </c>
      <c r="H308">
        <f t="shared" si="9"/>
        <v>1</v>
      </c>
    </row>
    <row r="309" spans="1:8" x14ac:dyDescent="0.3">
      <c r="A309" t="s">
        <v>418</v>
      </c>
      <c r="B309">
        <v>208</v>
      </c>
      <c r="C309">
        <v>380</v>
      </c>
      <c r="D309">
        <v>343</v>
      </c>
      <c r="E309" s="1">
        <v>6745</v>
      </c>
      <c r="F309">
        <v>240</v>
      </c>
      <c r="G309" s="2">
        <f t="shared" si="8"/>
        <v>45403</v>
      </c>
      <c r="H309">
        <f t="shared" si="9"/>
        <v>3</v>
      </c>
    </row>
    <row r="310" spans="1:8" x14ac:dyDescent="0.3">
      <c r="A310" t="s">
        <v>417</v>
      </c>
      <c r="B310">
        <v>176</v>
      </c>
      <c r="C310">
        <v>424</v>
      </c>
      <c r="D310">
        <v>251</v>
      </c>
      <c r="E310" s="1">
        <v>6799</v>
      </c>
      <c r="F310">
        <v>214</v>
      </c>
      <c r="G310" s="2">
        <f t="shared" si="8"/>
        <v>45404</v>
      </c>
      <c r="H310">
        <f t="shared" si="9"/>
        <v>1</v>
      </c>
    </row>
    <row r="311" spans="1:8" x14ac:dyDescent="0.3">
      <c r="A311" t="s">
        <v>416</v>
      </c>
      <c r="B311">
        <v>252</v>
      </c>
      <c r="C311">
        <v>427</v>
      </c>
      <c r="D311">
        <v>307</v>
      </c>
      <c r="E311" s="1">
        <v>6967</v>
      </c>
      <c r="F311">
        <v>134</v>
      </c>
      <c r="G311" s="2">
        <f t="shared" si="8"/>
        <v>45405</v>
      </c>
      <c r="H311">
        <f t="shared" si="9"/>
        <v>1</v>
      </c>
    </row>
    <row r="312" spans="1:8" x14ac:dyDescent="0.3">
      <c r="A312" t="s">
        <v>415</v>
      </c>
      <c r="B312">
        <v>253</v>
      </c>
      <c r="C312">
        <v>411</v>
      </c>
      <c r="D312">
        <v>307</v>
      </c>
      <c r="E312" s="1">
        <v>7128</v>
      </c>
      <c r="F312">
        <v>154</v>
      </c>
      <c r="G312" s="2">
        <f t="shared" si="8"/>
        <v>45406</v>
      </c>
      <c r="H312">
        <f t="shared" si="9"/>
        <v>1</v>
      </c>
    </row>
    <row r="313" spans="1:8" x14ac:dyDescent="0.3">
      <c r="A313" t="s">
        <v>414</v>
      </c>
      <c r="B313">
        <v>145</v>
      </c>
      <c r="C313">
        <v>357</v>
      </c>
      <c r="D313">
        <v>333</v>
      </c>
      <c r="E313" s="1">
        <v>7209</v>
      </c>
      <c r="F313">
        <v>217</v>
      </c>
      <c r="G313" s="2">
        <f t="shared" si="8"/>
        <v>45407</v>
      </c>
      <c r="H313">
        <f t="shared" si="9"/>
        <v>1</v>
      </c>
    </row>
    <row r="314" spans="1:8" x14ac:dyDescent="0.3">
      <c r="A314" t="s">
        <v>413</v>
      </c>
      <c r="B314">
        <v>158</v>
      </c>
      <c r="C314">
        <v>349</v>
      </c>
      <c r="D314">
        <v>365</v>
      </c>
      <c r="E314" s="1">
        <v>7298</v>
      </c>
      <c r="F314">
        <v>250</v>
      </c>
      <c r="G314" s="2">
        <f t="shared" si="8"/>
        <v>45410</v>
      </c>
      <c r="H314">
        <f t="shared" si="9"/>
        <v>3</v>
      </c>
    </row>
    <row r="315" spans="1:8" x14ac:dyDescent="0.3">
      <c r="A315" t="s">
        <v>412</v>
      </c>
      <c r="B315">
        <v>140</v>
      </c>
      <c r="C315">
        <v>292</v>
      </c>
      <c r="D315">
        <v>255</v>
      </c>
      <c r="E315" s="1">
        <v>7373</v>
      </c>
      <c r="F315">
        <v>187</v>
      </c>
      <c r="G315" s="2">
        <f t="shared" si="8"/>
        <v>45411</v>
      </c>
      <c r="H315">
        <f t="shared" si="9"/>
        <v>1</v>
      </c>
    </row>
    <row r="316" spans="1:8" x14ac:dyDescent="0.3">
      <c r="A316" t="s">
        <v>411</v>
      </c>
      <c r="B316">
        <v>220</v>
      </c>
      <c r="C316">
        <v>443</v>
      </c>
      <c r="D316">
        <v>194</v>
      </c>
      <c r="E316" s="1">
        <v>7431</v>
      </c>
      <c r="F316">
        <v>135</v>
      </c>
      <c r="G316" s="2">
        <f t="shared" si="8"/>
        <v>45412</v>
      </c>
      <c r="H316">
        <f t="shared" si="9"/>
        <v>1</v>
      </c>
    </row>
    <row r="317" spans="1:8" x14ac:dyDescent="0.3">
      <c r="A317" t="s">
        <v>410</v>
      </c>
      <c r="B317">
        <v>197</v>
      </c>
      <c r="C317">
        <v>437</v>
      </c>
      <c r="D317">
        <v>295</v>
      </c>
      <c r="E317" s="1">
        <v>7508</v>
      </c>
      <c r="F317">
        <v>190</v>
      </c>
      <c r="G317" s="2">
        <f t="shared" si="8"/>
        <v>45413</v>
      </c>
      <c r="H317">
        <f t="shared" si="9"/>
        <v>1</v>
      </c>
    </row>
    <row r="318" spans="1:8" x14ac:dyDescent="0.3">
      <c r="A318" t="s">
        <v>409</v>
      </c>
      <c r="B318">
        <v>206</v>
      </c>
      <c r="C318">
        <v>411</v>
      </c>
      <c r="D318">
        <v>293</v>
      </c>
      <c r="E318" s="1">
        <v>7577</v>
      </c>
      <c r="F318">
        <v>194</v>
      </c>
      <c r="G318" s="2">
        <f t="shared" si="8"/>
        <v>45414</v>
      </c>
      <c r="H318">
        <f t="shared" si="9"/>
        <v>1</v>
      </c>
    </row>
    <row r="319" spans="1:8" x14ac:dyDescent="0.3">
      <c r="A319" t="s">
        <v>408</v>
      </c>
      <c r="B319">
        <v>150</v>
      </c>
      <c r="C319">
        <v>315</v>
      </c>
      <c r="D319">
        <v>228</v>
      </c>
      <c r="E319" s="1">
        <v>7447</v>
      </c>
      <c r="F319">
        <v>332</v>
      </c>
      <c r="G319" s="2">
        <f t="shared" si="8"/>
        <v>45417</v>
      </c>
      <c r="H319">
        <f t="shared" si="9"/>
        <v>3</v>
      </c>
    </row>
    <row r="320" spans="1:8" x14ac:dyDescent="0.3">
      <c r="A320" t="s">
        <v>407</v>
      </c>
      <c r="B320">
        <v>173</v>
      </c>
      <c r="C320">
        <v>337</v>
      </c>
      <c r="D320">
        <v>211</v>
      </c>
      <c r="E320" s="1">
        <v>7449</v>
      </c>
      <c r="F320">
        <v>205</v>
      </c>
      <c r="G320" s="2">
        <f t="shared" si="8"/>
        <v>45418</v>
      </c>
      <c r="H320">
        <f t="shared" si="9"/>
        <v>1</v>
      </c>
    </row>
    <row r="321" spans="1:8" x14ac:dyDescent="0.3">
      <c r="A321" t="s">
        <v>406</v>
      </c>
      <c r="B321">
        <v>176</v>
      </c>
      <c r="C321">
        <v>334</v>
      </c>
      <c r="D321">
        <v>246</v>
      </c>
      <c r="E321" s="1">
        <v>7566</v>
      </c>
      <c r="F321">
        <v>163</v>
      </c>
      <c r="G321" s="2">
        <f t="shared" si="8"/>
        <v>45419</v>
      </c>
      <c r="H321">
        <f t="shared" si="9"/>
        <v>1</v>
      </c>
    </row>
    <row r="322" spans="1:8" x14ac:dyDescent="0.3">
      <c r="A322" t="s">
        <v>405</v>
      </c>
      <c r="B322">
        <v>167</v>
      </c>
      <c r="C322">
        <v>374</v>
      </c>
      <c r="D322">
        <v>205</v>
      </c>
      <c r="E322" s="1">
        <v>7583</v>
      </c>
      <c r="F322">
        <v>202</v>
      </c>
      <c r="G322" s="2">
        <f t="shared" ref="G322:G385" si="10">DATE(VALUE(RIGHT(A322,4)),MONTH(DATEVALUE(LEFT(A322,FIND(" ",A322)-1)&amp;"1")),VALUE(MID(A322,FIND(" ",A322)+1,FIND(",",A322)-FIND(" ",A322)-1)))</f>
        <v>45420</v>
      </c>
      <c r="H322">
        <f t="shared" si="9"/>
        <v>1</v>
      </c>
    </row>
    <row r="323" spans="1:8" x14ac:dyDescent="0.3">
      <c r="A323" t="s">
        <v>404</v>
      </c>
      <c r="B323">
        <v>138</v>
      </c>
      <c r="C323">
        <v>285</v>
      </c>
      <c r="D323">
        <v>268</v>
      </c>
      <c r="E323" s="1">
        <v>7570</v>
      </c>
      <c r="F323">
        <v>244</v>
      </c>
      <c r="G323" s="2">
        <f t="shared" si="10"/>
        <v>45421</v>
      </c>
      <c r="H323">
        <f t="shared" si="9"/>
        <v>1</v>
      </c>
    </row>
    <row r="324" spans="1:8" x14ac:dyDescent="0.3">
      <c r="A324" t="s">
        <v>403</v>
      </c>
      <c r="B324">
        <v>138</v>
      </c>
      <c r="C324">
        <v>301</v>
      </c>
      <c r="D324">
        <v>263</v>
      </c>
      <c r="E324" s="1">
        <v>7464</v>
      </c>
      <c r="F324">
        <v>245</v>
      </c>
      <c r="G324" s="2">
        <f t="shared" si="10"/>
        <v>45424</v>
      </c>
      <c r="H324">
        <f t="shared" ref="H324:H387" si="11">G324-G323</f>
        <v>3</v>
      </c>
    </row>
    <row r="325" spans="1:8" x14ac:dyDescent="0.3">
      <c r="A325" t="s">
        <v>402</v>
      </c>
      <c r="B325">
        <v>112</v>
      </c>
      <c r="C325">
        <v>331</v>
      </c>
      <c r="D325">
        <v>167</v>
      </c>
      <c r="E325" s="1">
        <v>7499</v>
      </c>
      <c r="F325">
        <v>157</v>
      </c>
      <c r="G325" s="2">
        <f t="shared" si="10"/>
        <v>45425</v>
      </c>
      <c r="H325">
        <f t="shared" si="11"/>
        <v>1</v>
      </c>
    </row>
    <row r="326" spans="1:8" x14ac:dyDescent="0.3">
      <c r="A326" t="s">
        <v>401</v>
      </c>
      <c r="B326">
        <v>246</v>
      </c>
      <c r="C326">
        <v>419</v>
      </c>
      <c r="D326">
        <v>218</v>
      </c>
      <c r="E326" s="1">
        <v>7546</v>
      </c>
      <c r="F326">
        <v>186</v>
      </c>
      <c r="G326" s="2">
        <f t="shared" si="10"/>
        <v>45426</v>
      </c>
      <c r="H326">
        <f t="shared" si="11"/>
        <v>1</v>
      </c>
    </row>
    <row r="327" spans="1:8" x14ac:dyDescent="0.3">
      <c r="A327" t="s">
        <v>400</v>
      </c>
      <c r="B327">
        <v>115</v>
      </c>
      <c r="C327">
        <v>285</v>
      </c>
      <c r="D327">
        <v>341</v>
      </c>
      <c r="E327" s="1">
        <v>7589</v>
      </c>
      <c r="F327">
        <v>265</v>
      </c>
      <c r="G327" s="2">
        <f t="shared" si="10"/>
        <v>45427</v>
      </c>
      <c r="H327">
        <f t="shared" si="11"/>
        <v>1</v>
      </c>
    </row>
    <row r="328" spans="1:8" x14ac:dyDescent="0.3">
      <c r="A328" t="s">
        <v>399</v>
      </c>
      <c r="B328">
        <v>206</v>
      </c>
      <c r="C328">
        <v>340</v>
      </c>
      <c r="D328">
        <v>214</v>
      </c>
      <c r="E328" s="1">
        <v>7565</v>
      </c>
      <c r="F328">
        <v>234</v>
      </c>
      <c r="G328" s="2">
        <f t="shared" si="10"/>
        <v>45428</v>
      </c>
      <c r="H328">
        <f t="shared" si="11"/>
        <v>1</v>
      </c>
    </row>
    <row r="329" spans="1:8" x14ac:dyDescent="0.3">
      <c r="A329" t="s">
        <v>398</v>
      </c>
      <c r="B329">
        <v>143</v>
      </c>
      <c r="C329">
        <v>295</v>
      </c>
      <c r="D329">
        <v>278</v>
      </c>
      <c r="E329" s="1">
        <v>7356</v>
      </c>
      <c r="F329">
        <v>298</v>
      </c>
      <c r="G329" s="2">
        <f t="shared" si="10"/>
        <v>45431</v>
      </c>
      <c r="H329">
        <f t="shared" si="11"/>
        <v>3</v>
      </c>
    </row>
    <row r="330" spans="1:8" x14ac:dyDescent="0.3">
      <c r="A330" t="s">
        <v>397</v>
      </c>
      <c r="B330">
        <v>111</v>
      </c>
      <c r="C330">
        <v>268</v>
      </c>
      <c r="D330">
        <v>217</v>
      </c>
      <c r="E330" s="1">
        <v>7368</v>
      </c>
      <c r="F330">
        <v>192</v>
      </c>
      <c r="G330" s="2">
        <f t="shared" si="10"/>
        <v>45432</v>
      </c>
      <c r="H330">
        <f t="shared" si="11"/>
        <v>1</v>
      </c>
    </row>
    <row r="331" spans="1:8" x14ac:dyDescent="0.3">
      <c r="A331" t="s">
        <v>396</v>
      </c>
      <c r="B331">
        <v>196</v>
      </c>
      <c r="C331">
        <v>348</v>
      </c>
      <c r="D331">
        <v>176</v>
      </c>
      <c r="E331" s="1">
        <v>7404</v>
      </c>
      <c r="F331">
        <v>145</v>
      </c>
      <c r="G331" s="2">
        <f t="shared" si="10"/>
        <v>45433</v>
      </c>
      <c r="H331">
        <f t="shared" si="11"/>
        <v>1</v>
      </c>
    </row>
    <row r="332" spans="1:8" x14ac:dyDescent="0.3">
      <c r="A332" t="s">
        <v>395</v>
      </c>
      <c r="B332">
        <v>168</v>
      </c>
      <c r="C332">
        <v>349</v>
      </c>
      <c r="D332">
        <v>272</v>
      </c>
      <c r="E332" s="1">
        <v>7474</v>
      </c>
      <c r="F332">
        <v>208</v>
      </c>
      <c r="G332" s="2">
        <f t="shared" si="10"/>
        <v>45434</v>
      </c>
      <c r="H332">
        <f t="shared" si="11"/>
        <v>1</v>
      </c>
    </row>
    <row r="333" spans="1:8" x14ac:dyDescent="0.3">
      <c r="A333" t="s">
        <v>394</v>
      </c>
      <c r="B333">
        <v>193</v>
      </c>
      <c r="C333">
        <v>272</v>
      </c>
      <c r="D333">
        <v>314</v>
      </c>
      <c r="E333" s="1">
        <v>7494</v>
      </c>
      <c r="F333">
        <v>227</v>
      </c>
      <c r="G333" s="2">
        <f t="shared" si="10"/>
        <v>45435</v>
      </c>
      <c r="H333">
        <f t="shared" si="11"/>
        <v>1</v>
      </c>
    </row>
    <row r="334" spans="1:8" x14ac:dyDescent="0.3">
      <c r="A334" t="s">
        <v>393</v>
      </c>
      <c r="B334">
        <v>156</v>
      </c>
      <c r="C334">
        <v>344</v>
      </c>
      <c r="D334">
        <v>252</v>
      </c>
      <c r="E334" s="1">
        <v>7365</v>
      </c>
      <c r="F334">
        <v>167</v>
      </c>
      <c r="G334" s="2">
        <f t="shared" si="10"/>
        <v>45439</v>
      </c>
      <c r="H334">
        <f t="shared" si="11"/>
        <v>4</v>
      </c>
    </row>
    <row r="335" spans="1:8" x14ac:dyDescent="0.3">
      <c r="A335" t="s">
        <v>392</v>
      </c>
      <c r="B335">
        <v>153</v>
      </c>
      <c r="C335">
        <v>348</v>
      </c>
      <c r="D335">
        <v>239</v>
      </c>
      <c r="E335" s="1">
        <v>7418</v>
      </c>
      <c r="F335">
        <v>151</v>
      </c>
      <c r="G335" s="2">
        <f t="shared" si="10"/>
        <v>45440</v>
      </c>
      <c r="H335">
        <f t="shared" si="11"/>
        <v>1</v>
      </c>
    </row>
    <row r="336" spans="1:8" x14ac:dyDescent="0.3">
      <c r="A336" t="s">
        <v>391</v>
      </c>
      <c r="B336">
        <v>182</v>
      </c>
      <c r="C336">
        <v>462</v>
      </c>
      <c r="D336">
        <v>158</v>
      </c>
      <c r="E336" s="1">
        <v>7491</v>
      </c>
      <c r="F336">
        <v>141</v>
      </c>
      <c r="G336" s="2">
        <f t="shared" si="10"/>
        <v>45441</v>
      </c>
      <c r="H336">
        <f t="shared" si="11"/>
        <v>1</v>
      </c>
    </row>
    <row r="337" spans="1:8" x14ac:dyDescent="0.3">
      <c r="A337" t="s">
        <v>390</v>
      </c>
      <c r="B337">
        <v>167</v>
      </c>
      <c r="C337">
        <v>406</v>
      </c>
      <c r="D337">
        <v>339</v>
      </c>
      <c r="E337" s="1">
        <v>7563</v>
      </c>
      <c r="F337">
        <v>190</v>
      </c>
      <c r="G337" s="2">
        <f t="shared" si="10"/>
        <v>45442</v>
      </c>
      <c r="H337">
        <f t="shared" si="11"/>
        <v>1</v>
      </c>
    </row>
    <row r="338" spans="1:8" x14ac:dyDescent="0.3">
      <c r="A338" t="s">
        <v>389</v>
      </c>
      <c r="B338">
        <v>159</v>
      </c>
      <c r="C338">
        <v>330</v>
      </c>
      <c r="D338">
        <v>322</v>
      </c>
      <c r="E338" s="1">
        <v>7546</v>
      </c>
      <c r="F338">
        <v>306</v>
      </c>
      <c r="G338" s="2">
        <f t="shared" si="10"/>
        <v>45445</v>
      </c>
      <c r="H338">
        <f t="shared" si="11"/>
        <v>3</v>
      </c>
    </row>
    <row r="339" spans="1:8" x14ac:dyDescent="0.3">
      <c r="A339" t="s">
        <v>388</v>
      </c>
      <c r="B339">
        <v>109</v>
      </c>
      <c r="C339">
        <v>244</v>
      </c>
      <c r="D339">
        <v>257</v>
      </c>
      <c r="E339" s="1">
        <v>7596</v>
      </c>
      <c r="F339">
        <v>224</v>
      </c>
      <c r="G339" s="2">
        <f t="shared" si="10"/>
        <v>45446</v>
      </c>
      <c r="H339">
        <f t="shared" si="11"/>
        <v>1</v>
      </c>
    </row>
    <row r="340" spans="1:8" x14ac:dyDescent="0.3">
      <c r="A340" t="s">
        <v>387</v>
      </c>
      <c r="B340">
        <v>260</v>
      </c>
      <c r="C340">
        <v>356</v>
      </c>
      <c r="D340">
        <v>176</v>
      </c>
      <c r="E340" s="1">
        <v>7565</v>
      </c>
      <c r="F340">
        <v>203</v>
      </c>
      <c r="G340" s="2">
        <f t="shared" si="10"/>
        <v>45447</v>
      </c>
      <c r="H340">
        <f t="shared" si="11"/>
        <v>1</v>
      </c>
    </row>
    <row r="341" spans="1:8" x14ac:dyDescent="0.3">
      <c r="A341" t="s">
        <v>386</v>
      </c>
      <c r="B341">
        <v>173</v>
      </c>
      <c r="C341">
        <v>345</v>
      </c>
      <c r="D341">
        <v>291</v>
      </c>
      <c r="E341" s="1">
        <v>7691</v>
      </c>
      <c r="F341">
        <v>198</v>
      </c>
      <c r="G341" s="2">
        <f t="shared" si="10"/>
        <v>45448</v>
      </c>
      <c r="H341">
        <f t="shared" si="11"/>
        <v>1</v>
      </c>
    </row>
    <row r="342" spans="1:8" x14ac:dyDescent="0.3">
      <c r="A342" t="s">
        <v>385</v>
      </c>
      <c r="B342">
        <v>179</v>
      </c>
      <c r="C342">
        <v>326</v>
      </c>
      <c r="D342">
        <v>282</v>
      </c>
      <c r="E342" s="1">
        <v>7741</v>
      </c>
      <c r="F342">
        <v>238</v>
      </c>
      <c r="G342" s="2">
        <f t="shared" si="10"/>
        <v>45449</v>
      </c>
      <c r="H342">
        <f t="shared" si="11"/>
        <v>1</v>
      </c>
    </row>
    <row r="343" spans="1:8" x14ac:dyDescent="0.3">
      <c r="A343" t="s">
        <v>384</v>
      </c>
      <c r="B343">
        <v>116</v>
      </c>
      <c r="C343">
        <v>289</v>
      </c>
      <c r="D343">
        <v>166</v>
      </c>
      <c r="E343" s="1">
        <v>7451</v>
      </c>
      <c r="F343">
        <v>312</v>
      </c>
      <c r="G343" s="2">
        <f t="shared" si="10"/>
        <v>45452</v>
      </c>
      <c r="H343">
        <f t="shared" si="11"/>
        <v>3</v>
      </c>
    </row>
    <row r="344" spans="1:8" x14ac:dyDescent="0.3">
      <c r="A344" t="s">
        <v>383</v>
      </c>
      <c r="B344">
        <v>184</v>
      </c>
      <c r="C344">
        <v>334</v>
      </c>
      <c r="D344">
        <v>229</v>
      </c>
      <c r="E344" s="1">
        <v>7439</v>
      </c>
      <c r="F344">
        <v>212</v>
      </c>
      <c r="G344" s="2">
        <f t="shared" si="10"/>
        <v>45453</v>
      </c>
      <c r="H344">
        <f t="shared" si="11"/>
        <v>1</v>
      </c>
    </row>
    <row r="345" spans="1:8" x14ac:dyDescent="0.3">
      <c r="A345" t="s">
        <v>382</v>
      </c>
      <c r="B345">
        <v>186</v>
      </c>
      <c r="C345">
        <v>352</v>
      </c>
      <c r="D345">
        <v>224</v>
      </c>
      <c r="E345" s="1">
        <v>7493</v>
      </c>
      <c r="F345">
        <v>156</v>
      </c>
      <c r="G345" s="2">
        <f t="shared" si="10"/>
        <v>45454</v>
      </c>
      <c r="H345">
        <f t="shared" si="11"/>
        <v>1</v>
      </c>
    </row>
    <row r="346" spans="1:8" x14ac:dyDescent="0.3">
      <c r="A346" t="s">
        <v>381</v>
      </c>
      <c r="B346">
        <v>152</v>
      </c>
      <c r="C346">
        <v>266</v>
      </c>
      <c r="D346">
        <v>274</v>
      </c>
      <c r="E346" s="1">
        <v>7548</v>
      </c>
      <c r="F346">
        <v>212</v>
      </c>
      <c r="G346" s="2">
        <f t="shared" si="10"/>
        <v>45455</v>
      </c>
      <c r="H346">
        <f t="shared" si="11"/>
        <v>1</v>
      </c>
    </row>
    <row r="347" spans="1:8" x14ac:dyDescent="0.3">
      <c r="A347" t="s">
        <v>380</v>
      </c>
      <c r="B347">
        <v>167</v>
      </c>
      <c r="C347">
        <v>293</v>
      </c>
      <c r="D347">
        <v>230</v>
      </c>
      <c r="E347" s="1">
        <v>7544</v>
      </c>
      <c r="F347">
        <v>259</v>
      </c>
      <c r="G347" s="2">
        <f t="shared" si="10"/>
        <v>45456</v>
      </c>
      <c r="H347">
        <f t="shared" si="11"/>
        <v>1</v>
      </c>
    </row>
    <row r="348" spans="1:8" x14ac:dyDescent="0.3">
      <c r="A348" t="s">
        <v>379</v>
      </c>
      <c r="B348">
        <v>204</v>
      </c>
      <c r="C348">
        <v>315</v>
      </c>
      <c r="D348">
        <v>233</v>
      </c>
      <c r="E348" s="1">
        <v>7307</v>
      </c>
      <c r="F348">
        <v>294</v>
      </c>
      <c r="G348" s="2">
        <f t="shared" si="10"/>
        <v>45459</v>
      </c>
      <c r="H348">
        <f t="shared" si="11"/>
        <v>3</v>
      </c>
    </row>
    <row r="349" spans="1:8" x14ac:dyDescent="0.3">
      <c r="A349" t="s">
        <v>378</v>
      </c>
      <c r="B349">
        <v>159</v>
      </c>
      <c r="C349">
        <v>310</v>
      </c>
      <c r="D349">
        <v>272</v>
      </c>
      <c r="E349" s="1">
        <v>7318</v>
      </c>
      <c r="F349">
        <v>224</v>
      </c>
      <c r="G349" s="2">
        <f t="shared" si="10"/>
        <v>45460</v>
      </c>
      <c r="H349">
        <f t="shared" si="11"/>
        <v>1</v>
      </c>
    </row>
    <row r="350" spans="1:8" x14ac:dyDescent="0.3">
      <c r="A350" t="s">
        <v>377</v>
      </c>
      <c r="B350">
        <v>160</v>
      </c>
      <c r="C350">
        <v>297</v>
      </c>
      <c r="D350">
        <v>253</v>
      </c>
      <c r="E350" s="1">
        <v>7340</v>
      </c>
      <c r="F350">
        <v>214</v>
      </c>
      <c r="G350" s="2">
        <f t="shared" si="10"/>
        <v>45461</v>
      </c>
      <c r="H350">
        <f t="shared" si="11"/>
        <v>1</v>
      </c>
    </row>
    <row r="351" spans="1:8" x14ac:dyDescent="0.3">
      <c r="A351" t="s">
        <v>376</v>
      </c>
      <c r="B351">
        <v>204</v>
      </c>
      <c r="C351">
        <v>321</v>
      </c>
      <c r="D351">
        <v>246</v>
      </c>
      <c r="E351" s="1">
        <v>7433</v>
      </c>
      <c r="F351">
        <v>198</v>
      </c>
      <c r="G351" s="2">
        <f t="shared" si="10"/>
        <v>45462</v>
      </c>
      <c r="H351">
        <f t="shared" si="11"/>
        <v>1</v>
      </c>
    </row>
    <row r="352" spans="1:8" x14ac:dyDescent="0.3">
      <c r="A352" t="s">
        <v>375</v>
      </c>
      <c r="B352">
        <v>145</v>
      </c>
      <c r="C352">
        <v>247</v>
      </c>
      <c r="D352">
        <v>243</v>
      </c>
      <c r="E352" s="1">
        <v>7431</v>
      </c>
      <c r="F352">
        <v>235</v>
      </c>
      <c r="G352" s="2">
        <f t="shared" si="10"/>
        <v>45463</v>
      </c>
      <c r="H352">
        <f t="shared" si="11"/>
        <v>1</v>
      </c>
    </row>
    <row r="353" spans="1:8" x14ac:dyDescent="0.3">
      <c r="A353" t="s">
        <v>374</v>
      </c>
      <c r="B353">
        <v>102</v>
      </c>
      <c r="C353">
        <v>227</v>
      </c>
      <c r="D353">
        <v>201</v>
      </c>
      <c r="E353" s="1">
        <v>7247</v>
      </c>
      <c r="F353">
        <v>294</v>
      </c>
      <c r="G353" s="2">
        <f t="shared" si="10"/>
        <v>45466</v>
      </c>
      <c r="H353">
        <f t="shared" si="11"/>
        <v>3</v>
      </c>
    </row>
    <row r="354" spans="1:8" x14ac:dyDescent="0.3">
      <c r="A354" t="s">
        <v>373</v>
      </c>
      <c r="B354">
        <v>116</v>
      </c>
      <c r="C354">
        <v>175</v>
      </c>
      <c r="D354">
        <v>172</v>
      </c>
      <c r="E354" s="1">
        <v>7239</v>
      </c>
      <c r="F354">
        <v>202</v>
      </c>
      <c r="G354" s="2">
        <f t="shared" si="10"/>
        <v>45467</v>
      </c>
      <c r="H354">
        <f t="shared" si="11"/>
        <v>1</v>
      </c>
    </row>
    <row r="355" spans="1:8" x14ac:dyDescent="0.3">
      <c r="A355" t="s">
        <v>372</v>
      </c>
      <c r="B355">
        <v>172</v>
      </c>
      <c r="C355">
        <v>263</v>
      </c>
      <c r="D355">
        <v>191</v>
      </c>
      <c r="E355" s="1">
        <v>7239</v>
      </c>
      <c r="F355">
        <v>202</v>
      </c>
      <c r="G355" s="2">
        <f t="shared" si="10"/>
        <v>45468</v>
      </c>
      <c r="H355">
        <f t="shared" si="11"/>
        <v>1</v>
      </c>
    </row>
    <row r="356" spans="1:8" x14ac:dyDescent="0.3">
      <c r="A356" t="s">
        <v>371</v>
      </c>
      <c r="B356">
        <v>132</v>
      </c>
      <c r="C356">
        <v>235</v>
      </c>
      <c r="D356">
        <v>197</v>
      </c>
      <c r="E356" s="1">
        <v>7268</v>
      </c>
      <c r="F356">
        <v>187</v>
      </c>
      <c r="G356" s="2">
        <f t="shared" si="10"/>
        <v>45469</v>
      </c>
      <c r="H356">
        <f t="shared" si="11"/>
        <v>1</v>
      </c>
    </row>
    <row r="357" spans="1:8" x14ac:dyDescent="0.3">
      <c r="A357" t="s">
        <v>370</v>
      </c>
      <c r="B357">
        <v>174</v>
      </c>
      <c r="C357">
        <v>208</v>
      </c>
      <c r="D357">
        <v>256</v>
      </c>
      <c r="E357" s="1">
        <v>7248</v>
      </c>
      <c r="F357">
        <v>268</v>
      </c>
      <c r="G357" s="2">
        <f t="shared" si="10"/>
        <v>45470</v>
      </c>
      <c r="H357">
        <f t="shared" si="11"/>
        <v>1</v>
      </c>
    </row>
    <row r="358" spans="1:8" x14ac:dyDescent="0.3">
      <c r="A358" t="s">
        <v>369</v>
      </c>
      <c r="B358">
        <v>123</v>
      </c>
      <c r="C358">
        <v>230</v>
      </c>
      <c r="D358">
        <v>167</v>
      </c>
      <c r="E358" s="1">
        <v>6874</v>
      </c>
      <c r="F358">
        <v>273</v>
      </c>
      <c r="G358" s="2">
        <f t="shared" si="10"/>
        <v>45473</v>
      </c>
      <c r="H358">
        <f t="shared" si="11"/>
        <v>3</v>
      </c>
    </row>
    <row r="359" spans="1:8" x14ac:dyDescent="0.3">
      <c r="A359" t="s">
        <v>368</v>
      </c>
      <c r="B359">
        <v>123</v>
      </c>
      <c r="C359">
        <v>233</v>
      </c>
      <c r="D359">
        <v>159</v>
      </c>
      <c r="E359" s="1">
        <v>6825</v>
      </c>
      <c r="F359">
        <v>229</v>
      </c>
      <c r="G359" s="2">
        <f t="shared" si="10"/>
        <v>45474</v>
      </c>
      <c r="H359">
        <f t="shared" si="11"/>
        <v>1</v>
      </c>
    </row>
    <row r="360" spans="1:8" x14ac:dyDescent="0.3">
      <c r="A360" t="s">
        <v>367</v>
      </c>
      <c r="B360">
        <v>141</v>
      </c>
      <c r="C360">
        <v>232</v>
      </c>
      <c r="D360">
        <v>188</v>
      </c>
      <c r="E360" s="1">
        <v>6823</v>
      </c>
      <c r="F360">
        <v>184</v>
      </c>
      <c r="G360" s="2">
        <f t="shared" si="10"/>
        <v>45475</v>
      </c>
      <c r="H360">
        <f t="shared" si="11"/>
        <v>1</v>
      </c>
    </row>
    <row r="361" spans="1:8" x14ac:dyDescent="0.3">
      <c r="A361" t="s">
        <v>366</v>
      </c>
      <c r="B361">
        <v>158</v>
      </c>
      <c r="C361">
        <v>226</v>
      </c>
      <c r="D361">
        <v>191</v>
      </c>
      <c r="E361" s="1">
        <v>6790</v>
      </c>
      <c r="F361">
        <v>225</v>
      </c>
      <c r="G361" s="2">
        <f t="shared" si="10"/>
        <v>45477</v>
      </c>
      <c r="H361">
        <f t="shared" si="11"/>
        <v>2</v>
      </c>
    </row>
    <row r="362" spans="1:8" x14ac:dyDescent="0.3">
      <c r="A362" t="s">
        <v>365</v>
      </c>
      <c r="B362">
        <v>96</v>
      </c>
      <c r="C362">
        <v>160</v>
      </c>
      <c r="D362">
        <v>233</v>
      </c>
      <c r="E362" s="1">
        <v>6599</v>
      </c>
      <c r="F362">
        <v>213</v>
      </c>
      <c r="G362" s="2">
        <f t="shared" si="10"/>
        <v>45480</v>
      </c>
      <c r="H362">
        <f t="shared" si="11"/>
        <v>3</v>
      </c>
    </row>
    <row r="363" spans="1:8" x14ac:dyDescent="0.3">
      <c r="A363" t="s">
        <v>364</v>
      </c>
      <c r="B363">
        <v>141</v>
      </c>
      <c r="C363">
        <v>173</v>
      </c>
      <c r="D363">
        <v>129</v>
      </c>
      <c r="E363" s="1">
        <v>6617</v>
      </c>
      <c r="F363">
        <v>123</v>
      </c>
      <c r="G363" s="2">
        <f t="shared" si="10"/>
        <v>45481</v>
      </c>
      <c r="H363">
        <f t="shared" si="11"/>
        <v>1</v>
      </c>
    </row>
    <row r="364" spans="1:8" x14ac:dyDescent="0.3">
      <c r="A364" t="s">
        <v>363</v>
      </c>
      <c r="B364">
        <v>116</v>
      </c>
      <c r="C364">
        <v>181</v>
      </c>
      <c r="D364">
        <v>182</v>
      </c>
      <c r="E364" s="1">
        <v>6651</v>
      </c>
      <c r="F364">
        <v>130</v>
      </c>
      <c r="G364" s="2">
        <f t="shared" si="10"/>
        <v>45482</v>
      </c>
      <c r="H364">
        <f t="shared" si="11"/>
        <v>1</v>
      </c>
    </row>
    <row r="365" spans="1:8" x14ac:dyDescent="0.3">
      <c r="A365" t="s">
        <v>362</v>
      </c>
      <c r="B365">
        <v>150</v>
      </c>
      <c r="C365">
        <v>157</v>
      </c>
      <c r="D365">
        <v>201</v>
      </c>
      <c r="E365" s="1">
        <v>6649</v>
      </c>
      <c r="F365">
        <v>177</v>
      </c>
      <c r="G365" s="2">
        <f t="shared" si="10"/>
        <v>45483</v>
      </c>
      <c r="H365">
        <f t="shared" si="11"/>
        <v>1</v>
      </c>
    </row>
    <row r="366" spans="1:8" x14ac:dyDescent="0.3">
      <c r="A366" t="s">
        <v>361</v>
      </c>
      <c r="B366">
        <v>80</v>
      </c>
      <c r="C366">
        <v>176</v>
      </c>
      <c r="D366">
        <v>125</v>
      </c>
      <c r="E366" s="1">
        <v>6640</v>
      </c>
      <c r="F366">
        <v>197</v>
      </c>
      <c r="G366" s="2">
        <f t="shared" si="10"/>
        <v>45484</v>
      </c>
      <c r="H366">
        <f t="shared" si="11"/>
        <v>1</v>
      </c>
    </row>
    <row r="367" spans="1:8" x14ac:dyDescent="0.3">
      <c r="A367" t="s">
        <v>360</v>
      </c>
      <c r="B367">
        <v>116</v>
      </c>
      <c r="C367">
        <v>188</v>
      </c>
      <c r="D367">
        <v>164</v>
      </c>
      <c r="E367" s="1">
        <v>6308</v>
      </c>
      <c r="F367">
        <v>237</v>
      </c>
      <c r="G367" s="2">
        <f t="shared" si="10"/>
        <v>45487</v>
      </c>
      <c r="H367">
        <f t="shared" si="11"/>
        <v>3</v>
      </c>
    </row>
    <row r="368" spans="1:8" x14ac:dyDescent="0.3">
      <c r="A368" t="s">
        <v>359</v>
      </c>
      <c r="B368">
        <v>105</v>
      </c>
      <c r="C368">
        <v>185</v>
      </c>
      <c r="D368">
        <v>158</v>
      </c>
      <c r="E368" s="1">
        <v>6283</v>
      </c>
      <c r="F368">
        <v>171</v>
      </c>
      <c r="G368" s="2">
        <f t="shared" si="10"/>
        <v>45488</v>
      </c>
      <c r="H368">
        <f t="shared" si="11"/>
        <v>1</v>
      </c>
    </row>
    <row r="369" spans="1:8" x14ac:dyDescent="0.3">
      <c r="A369" t="s">
        <v>358</v>
      </c>
      <c r="B369">
        <v>136</v>
      </c>
      <c r="C369">
        <v>246</v>
      </c>
      <c r="D369">
        <v>123</v>
      </c>
      <c r="E369" s="1">
        <v>6239</v>
      </c>
      <c r="F369">
        <v>173</v>
      </c>
      <c r="G369" s="2">
        <f t="shared" si="10"/>
        <v>45489</v>
      </c>
      <c r="H369">
        <f t="shared" si="11"/>
        <v>1</v>
      </c>
    </row>
    <row r="370" spans="1:8" x14ac:dyDescent="0.3">
      <c r="A370" t="s">
        <v>357</v>
      </c>
      <c r="B370">
        <v>128</v>
      </c>
      <c r="C370">
        <v>228</v>
      </c>
      <c r="D370">
        <v>177</v>
      </c>
      <c r="E370" s="1">
        <v>6228</v>
      </c>
      <c r="F370">
        <v>187</v>
      </c>
      <c r="G370" s="2">
        <f t="shared" si="10"/>
        <v>45490</v>
      </c>
      <c r="H370">
        <f t="shared" si="11"/>
        <v>1</v>
      </c>
    </row>
    <row r="371" spans="1:8" x14ac:dyDescent="0.3">
      <c r="A371" t="s">
        <v>356</v>
      </c>
      <c r="B371">
        <v>90</v>
      </c>
      <c r="C371">
        <v>196</v>
      </c>
      <c r="D371">
        <v>205</v>
      </c>
      <c r="E371" s="1">
        <v>6058</v>
      </c>
      <c r="F371">
        <v>262</v>
      </c>
      <c r="G371" s="2">
        <f t="shared" si="10"/>
        <v>45494</v>
      </c>
      <c r="H371">
        <f t="shared" si="11"/>
        <v>4</v>
      </c>
    </row>
    <row r="372" spans="1:8" x14ac:dyDescent="0.3">
      <c r="A372" t="s">
        <v>355</v>
      </c>
      <c r="B372">
        <v>102</v>
      </c>
      <c r="C372">
        <v>189</v>
      </c>
      <c r="D372">
        <v>155</v>
      </c>
      <c r="E372" s="1">
        <v>6002</v>
      </c>
      <c r="F372">
        <v>234</v>
      </c>
      <c r="G372" s="2">
        <f t="shared" si="10"/>
        <v>45495</v>
      </c>
      <c r="H372">
        <f t="shared" si="11"/>
        <v>1</v>
      </c>
    </row>
    <row r="373" spans="1:8" x14ac:dyDescent="0.3">
      <c r="A373" t="s">
        <v>354</v>
      </c>
      <c r="B373">
        <v>120</v>
      </c>
      <c r="C373">
        <v>257</v>
      </c>
      <c r="D373">
        <v>126</v>
      </c>
      <c r="E373" s="1">
        <v>5965</v>
      </c>
      <c r="F373">
        <v>170</v>
      </c>
      <c r="G373" s="2">
        <f t="shared" si="10"/>
        <v>45496</v>
      </c>
      <c r="H373">
        <f t="shared" si="11"/>
        <v>1</v>
      </c>
    </row>
    <row r="374" spans="1:8" x14ac:dyDescent="0.3">
      <c r="A374" t="s">
        <v>353</v>
      </c>
      <c r="B374">
        <v>137</v>
      </c>
      <c r="C374">
        <v>272</v>
      </c>
      <c r="D374">
        <v>166</v>
      </c>
      <c r="E374" s="1">
        <v>5927</v>
      </c>
      <c r="F374">
        <v>177</v>
      </c>
      <c r="G374" s="2">
        <f t="shared" si="10"/>
        <v>45497</v>
      </c>
      <c r="H374">
        <f t="shared" si="11"/>
        <v>1</v>
      </c>
    </row>
    <row r="375" spans="1:8" x14ac:dyDescent="0.3">
      <c r="A375" t="s">
        <v>352</v>
      </c>
      <c r="B375">
        <v>93</v>
      </c>
      <c r="C375">
        <v>198</v>
      </c>
      <c r="D375">
        <v>208</v>
      </c>
      <c r="E375" s="1">
        <v>5954</v>
      </c>
      <c r="F375">
        <v>194</v>
      </c>
      <c r="G375" s="2">
        <f t="shared" si="10"/>
        <v>45498</v>
      </c>
      <c r="H375">
        <f t="shared" si="11"/>
        <v>1</v>
      </c>
    </row>
    <row r="376" spans="1:8" x14ac:dyDescent="0.3">
      <c r="A376" t="s">
        <v>351</v>
      </c>
      <c r="B376">
        <v>152</v>
      </c>
      <c r="C376">
        <v>290</v>
      </c>
      <c r="D376">
        <v>199</v>
      </c>
      <c r="E376" s="1">
        <v>5743</v>
      </c>
      <c r="F376">
        <v>207</v>
      </c>
      <c r="G376" s="2">
        <f t="shared" si="10"/>
        <v>45501</v>
      </c>
      <c r="H376">
        <f t="shared" si="11"/>
        <v>3</v>
      </c>
    </row>
    <row r="377" spans="1:8" x14ac:dyDescent="0.3">
      <c r="A377" t="s">
        <v>350</v>
      </c>
      <c r="B377">
        <v>114</v>
      </c>
      <c r="C377">
        <v>210</v>
      </c>
      <c r="D377">
        <v>219</v>
      </c>
      <c r="E377" s="1">
        <v>5819</v>
      </c>
      <c r="F377">
        <v>163</v>
      </c>
      <c r="G377" s="2">
        <f t="shared" si="10"/>
        <v>45502</v>
      </c>
      <c r="H377">
        <f t="shared" si="11"/>
        <v>1</v>
      </c>
    </row>
    <row r="378" spans="1:8" x14ac:dyDescent="0.3">
      <c r="A378" t="s">
        <v>349</v>
      </c>
      <c r="B378">
        <v>125</v>
      </c>
      <c r="C378">
        <v>203</v>
      </c>
      <c r="D378">
        <v>208</v>
      </c>
      <c r="E378" s="1">
        <v>5930</v>
      </c>
      <c r="F378">
        <v>92</v>
      </c>
      <c r="G378" s="2">
        <f t="shared" si="10"/>
        <v>45503</v>
      </c>
      <c r="H378">
        <f t="shared" si="11"/>
        <v>1</v>
      </c>
    </row>
    <row r="379" spans="1:8" x14ac:dyDescent="0.3">
      <c r="A379" t="s">
        <v>348</v>
      </c>
      <c r="B379">
        <v>140</v>
      </c>
      <c r="C379">
        <v>261</v>
      </c>
      <c r="D379">
        <v>163</v>
      </c>
      <c r="E379" s="1">
        <v>5963</v>
      </c>
      <c r="F379">
        <v>154</v>
      </c>
      <c r="G379" s="2">
        <f t="shared" si="10"/>
        <v>45504</v>
      </c>
      <c r="H379">
        <f t="shared" si="11"/>
        <v>1</v>
      </c>
    </row>
    <row r="380" spans="1:8" x14ac:dyDescent="0.3">
      <c r="A380" t="s">
        <v>347</v>
      </c>
      <c r="B380">
        <v>227</v>
      </c>
      <c r="C380">
        <v>298</v>
      </c>
      <c r="D380">
        <v>212</v>
      </c>
      <c r="E380" s="1">
        <v>6016</v>
      </c>
      <c r="F380">
        <v>169</v>
      </c>
      <c r="G380" s="2">
        <f t="shared" si="10"/>
        <v>45505</v>
      </c>
      <c r="H380">
        <f t="shared" si="11"/>
        <v>1</v>
      </c>
    </row>
    <row r="381" spans="1:8" x14ac:dyDescent="0.3">
      <c r="A381" t="s">
        <v>346</v>
      </c>
      <c r="B381">
        <v>63</v>
      </c>
      <c r="C381">
        <v>167</v>
      </c>
      <c r="D381">
        <v>143</v>
      </c>
      <c r="E381" s="1">
        <v>5943</v>
      </c>
      <c r="F381">
        <v>170</v>
      </c>
      <c r="G381" s="2">
        <f t="shared" si="10"/>
        <v>45508</v>
      </c>
      <c r="H381">
        <f t="shared" si="11"/>
        <v>3</v>
      </c>
    </row>
    <row r="382" spans="1:8" x14ac:dyDescent="0.3">
      <c r="A382" t="s">
        <v>345</v>
      </c>
      <c r="B382">
        <v>172</v>
      </c>
      <c r="C382">
        <v>259</v>
      </c>
      <c r="D382">
        <v>138</v>
      </c>
      <c r="E382" s="1">
        <v>5950</v>
      </c>
      <c r="F382">
        <v>150</v>
      </c>
      <c r="G382" s="2">
        <f t="shared" si="10"/>
        <v>45509</v>
      </c>
      <c r="H382">
        <f t="shared" si="11"/>
        <v>1</v>
      </c>
    </row>
    <row r="383" spans="1:8" x14ac:dyDescent="0.3">
      <c r="A383" t="s">
        <v>344</v>
      </c>
      <c r="B383">
        <v>163</v>
      </c>
      <c r="C383">
        <v>283</v>
      </c>
      <c r="D383">
        <v>200</v>
      </c>
      <c r="E383" s="1">
        <v>5998</v>
      </c>
      <c r="F383">
        <v>143</v>
      </c>
      <c r="G383" s="2">
        <f t="shared" si="10"/>
        <v>45510</v>
      </c>
      <c r="H383">
        <f t="shared" si="11"/>
        <v>1</v>
      </c>
    </row>
    <row r="384" spans="1:8" x14ac:dyDescent="0.3">
      <c r="A384" t="s">
        <v>343</v>
      </c>
      <c r="B384">
        <v>135</v>
      </c>
      <c r="C384">
        <v>273</v>
      </c>
      <c r="D384">
        <v>207</v>
      </c>
      <c r="E384" s="1">
        <v>6038</v>
      </c>
      <c r="F384">
        <v>174</v>
      </c>
      <c r="G384" s="2">
        <f t="shared" si="10"/>
        <v>45511</v>
      </c>
      <c r="H384">
        <f t="shared" si="11"/>
        <v>1</v>
      </c>
    </row>
    <row r="385" spans="1:8" x14ac:dyDescent="0.3">
      <c r="A385" t="s">
        <v>342</v>
      </c>
      <c r="B385">
        <v>119</v>
      </c>
      <c r="C385">
        <v>230</v>
      </c>
      <c r="D385">
        <v>213</v>
      </c>
      <c r="E385" s="1">
        <v>6084</v>
      </c>
      <c r="F385">
        <v>174</v>
      </c>
      <c r="G385" s="2">
        <f t="shared" si="10"/>
        <v>45512</v>
      </c>
      <c r="H385">
        <f t="shared" si="11"/>
        <v>1</v>
      </c>
    </row>
    <row r="386" spans="1:8" x14ac:dyDescent="0.3">
      <c r="A386" t="s">
        <v>341</v>
      </c>
      <c r="B386">
        <v>95</v>
      </c>
      <c r="C386">
        <v>211</v>
      </c>
      <c r="D386">
        <v>140</v>
      </c>
      <c r="E386" s="1">
        <v>5894</v>
      </c>
      <c r="F386">
        <v>249</v>
      </c>
      <c r="G386" s="2">
        <f t="shared" ref="G386:G449" si="12">DATE(VALUE(RIGHT(A386,4)),MONTH(DATEVALUE(LEFT(A386,FIND(" ",A386)-1)&amp;"1")),VALUE(MID(A386,FIND(" ",A386)+1,FIND(",",A386)-FIND(" ",A386)-1)))</f>
        <v>45515</v>
      </c>
      <c r="H386">
        <f t="shared" si="11"/>
        <v>3</v>
      </c>
    </row>
    <row r="387" spans="1:8" x14ac:dyDescent="0.3">
      <c r="A387" t="s">
        <v>340</v>
      </c>
      <c r="B387">
        <v>109</v>
      </c>
      <c r="C387">
        <v>219</v>
      </c>
      <c r="D387">
        <v>155</v>
      </c>
      <c r="E387" s="1">
        <v>5903</v>
      </c>
      <c r="F387">
        <v>148</v>
      </c>
      <c r="G387" s="2">
        <f t="shared" si="12"/>
        <v>45516</v>
      </c>
      <c r="H387">
        <f t="shared" si="11"/>
        <v>1</v>
      </c>
    </row>
    <row r="388" spans="1:8" x14ac:dyDescent="0.3">
      <c r="A388" t="s">
        <v>339</v>
      </c>
      <c r="B388">
        <v>162</v>
      </c>
      <c r="C388">
        <v>239</v>
      </c>
      <c r="D388">
        <v>189</v>
      </c>
      <c r="E388" s="1">
        <v>5981</v>
      </c>
      <c r="F388">
        <v>123</v>
      </c>
      <c r="G388" s="2">
        <f t="shared" si="12"/>
        <v>45517</v>
      </c>
      <c r="H388">
        <f t="shared" ref="H388:H451" si="13">G388-G387</f>
        <v>1</v>
      </c>
    </row>
    <row r="389" spans="1:8" x14ac:dyDescent="0.3">
      <c r="A389" t="s">
        <v>338</v>
      </c>
      <c r="B389">
        <v>109</v>
      </c>
      <c r="C389">
        <v>226</v>
      </c>
      <c r="D389">
        <v>191</v>
      </c>
      <c r="E389" s="1">
        <v>5987</v>
      </c>
      <c r="F389">
        <v>178</v>
      </c>
      <c r="G389" s="2">
        <f t="shared" si="12"/>
        <v>45518</v>
      </c>
      <c r="H389">
        <f t="shared" si="13"/>
        <v>1</v>
      </c>
    </row>
    <row r="390" spans="1:8" x14ac:dyDescent="0.3">
      <c r="A390" t="s">
        <v>337</v>
      </c>
      <c r="B390">
        <v>124</v>
      </c>
      <c r="C390">
        <v>241</v>
      </c>
      <c r="D390">
        <v>156</v>
      </c>
      <c r="E390" s="1">
        <v>5895</v>
      </c>
      <c r="F390">
        <v>220</v>
      </c>
      <c r="G390" s="2">
        <f t="shared" si="12"/>
        <v>45519</v>
      </c>
      <c r="H390">
        <f t="shared" si="13"/>
        <v>1</v>
      </c>
    </row>
    <row r="391" spans="1:8" x14ac:dyDescent="0.3">
      <c r="A391" t="s">
        <v>336</v>
      </c>
      <c r="B391">
        <v>86</v>
      </c>
      <c r="C391">
        <v>244</v>
      </c>
      <c r="D391">
        <v>235</v>
      </c>
      <c r="E391" s="1">
        <v>5821</v>
      </c>
      <c r="F391">
        <v>178</v>
      </c>
      <c r="G391" s="2">
        <f t="shared" si="12"/>
        <v>45522</v>
      </c>
      <c r="H391">
        <f t="shared" si="13"/>
        <v>3</v>
      </c>
    </row>
    <row r="392" spans="1:8" x14ac:dyDescent="0.3">
      <c r="A392" t="s">
        <v>335</v>
      </c>
      <c r="B392">
        <v>176</v>
      </c>
      <c r="C392">
        <v>254</v>
      </c>
      <c r="D392">
        <v>162</v>
      </c>
      <c r="E392" s="1">
        <v>5865</v>
      </c>
      <c r="F392">
        <v>158</v>
      </c>
      <c r="G392" s="2">
        <f t="shared" si="12"/>
        <v>45523</v>
      </c>
      <c r="H392">
        <f t="shared" si="13"/>
        <v>1</v>
      </c>
    </row>
    <row r="393" spans="1:8" x14ac:dyDescent="0.3">
      <c r="A393" t="s">
        <v>334</v>
      </c>
      <c r="B393">
        <v>136</v>
      </c>
      <c r="C393">
        <v>274</v>
      </c>
      <c r="D393">
        <v>245</v>
      </c>
      <c r="E393" s="1">
        <v>5995</v>
      </c>
      <c r="F393">
        <v>112</v>
      </c>
      <c r="G393" s="2">
        <f t="shared" si="12"/>
        <v>45524</v>
      </c>
      <c r="H393">
        <f t="shared" si="13"/>
        <v>1</v>
      </c>
    </row>
    <row r="394" spans="1:8" x14ac:dyDescent="0.3">
      <c r="A394" t="s">
        <v>333</v>
      </c>
      <c r="B394">
        <v>134</v>
      </c>
      <c r="C394">
        <v>245</v>
      </c>
      <c r="D394">
        <v>167</v>
      </c>
      <c r="E394" s="1">
        <v>6028</v>
      </c>
      <c r="F394">
        <v>156</v>
      </c>
      <c r="G394" s="2">
        <f t="shared" si="12"/>
        <v>45525</v>
      </c>
      <c r="H394">
        <f t="shared" si="13"/>
        <v>1</v>
      </c>
    </row>
    <row r="395" spans="1:8" x14ac:dyDescent="0.3">
      <c r="A395" t="s">
        <v>332</v>
      </c>
      <c r="B395">
        <v>182</v>
      </c>
      <c r="C395">
        <v>307</v>
      </c>
      <c r="D395">
        <v>205</v>
      </c>
      <c r="E395" s="1">
        <v>6054</v>
      </c>
      <c r="F395">
        <v>171</v>
      </c>
      <c r="G395" s="2">
        <f t="shared" si="12"/>
        <v>45526</v>
      </c>
      <c r="H395">
        <f t="shared" si="13"/>
        <v>1</v>
      </c>
    </row>
    <row r="396" spans="1:8" x14ac:dyDescent="0.3">
      <c r="A396" t="s">
        <v>331</v>
      </c>
      <c r="B396">
        <v>149</v>
      </c>
      <c r="C396">
        <v>285</v>
      </c>
      <c r="D396">
        <v>222</v>
      </c>
      <c r="E396" s="1">
        <v>6152</v>
      </c>
      <c r="F396">
        <v>97</v>
      </c>
      <c r="G396" s="2">
        <f t="shared" si="12"/>
        <v>45531</v>
      </c>
      <c r="H396">
        <f t="shared" si="13"/>
        <v>5</v>
      </c>
    </row>
    <row r="397" spans="1:8" x14ac:dyDescent="0.3">
      <c r="A397" t="s">
        <v>330</v>
      </c>
      <c r="B397">
        <v>170</v>
      </c>
      <c r="C397">
        <v>285</v>
      </c>
      <c r="D397">
        <v>178</v>
      </c>
      <c r="E397" s="1">
        <v>6227</v>
      </c>
      <c r="F397">
        <v>134</v>
      </c>
      <c r="G397" s="2">
        <f t="shared" si="12"/>
        <v>45532</v>
      </c>
      <c r="H397">
        <f t="shared" si="13"/>
        <v>1</v>
      </c>
    </row>
    <row r="398" spans="1:8" x14ac:dyDescent="0.3">
      <c r="A398" t="s">
        <v>329</v>
      </c>
      <c r="B398">
        <v>145</v>
      </c>
      <c r="C398">
        <v>295</v>
      </c>
      <c r="D398">
        <v>188</v>
      </c>
      <c r="E398" s="1">
        <v>6250</v>
      </c>
      <c r="F398">
        <v>169</v>
      </c>
      <c r="G398" s="2">
        <f t="shared" si="12"/>
        <v>45533</v>
      </c>
      <c r="H398">
        <f t="shared" si="13"/>
        <v>1</v>
      </c>
    </row>
    <row r="399" spans="1:8" x14ac:dyDescent="0.3">
      <c r="A399" t="s">
        <v>328</v>
      </c>
      <c r="B399">
        <v>133</v>
      </c>
      <c r="C399">
        <v>270</v>
      </c>
      <c r="D399">
        <v>198</v>
      </c>
      <c r="E399" s="1">
        <v>6192</v>
      </c>
      <c r="F399">
        <v>129</v>
      </c>
      <c r="G399" s="2">
        <f t="shared" si="12"/>
        <v>45537</v>
      </c>
      <c r="H399">
        <f t="shared" si="13"/>
        <v>4</v>
      </c>
    </row>
    <row r="400" spans="1:8" x14ac:dyDescent="0.3">
      <c r="A400" t="s">
        <v>327</v>
      </c>
      <c r="B400">
        <v>131</v>
      </c>
      <c r="C400">
        <v>263</v>
      </c>
      <c r="D400">
        <v>177</v>
      </c>
      <c r="E400" s="1">
        <v>6272</v>
      </c>
      <c r="F400">
        <v>112</v>
      </c>
      <c r="G400" s="2">
        <f t="shared" si="12"/>
        <v>45538</v>
      </c>
      <c r="H400">
        <f t="shared" si="13"/>
        <v>1</v>
      </c>
    </row>
    <row r="401" spans="1:8" x14ac:dyDescent="0.3">
      <c r="A401" t="s">
        <v>326</v>
      </c>
      <c r="B401">
        <v>121</v>
      </c>
      <c r="C401">
        <v>231</v>
      </c>
      <c r="D401">
        <v>219</v>
      </c>
      <c r="E401" s="1">
        <v>6375</v>
      </c>
      <c r="F401">
        <v>114</v>
      </c>
      <c r="G401" s="2">
        <f t="shared" si="12"/>
        <v>45539</v>
      </c>
      <c r="H401">
        <f t="shared" si="13"/>
        <v>1</v>
      </c>
    </row>
    <row r="402" spans="1:8" x14ac:dyDescent="0.3">
      <c r="A402" t="s">
        <v>325</v>
      </c>
      <c r="B402">
        <v>126</v>
      </c>
      <c r="C402">
        <v>230</v>
      </c>
      <c r="D402">
        <v>175</v>
      </c>
      <c r="E402" s="1">
        <v>6448</v>
      </c>
      <c r="F402">
        <v>121</v>
      </c>
      <c r="G402" s="2">
        <f t="shared" si="12"/>
        <v>45540</v>
      </c>
      <c r="H402">
        <f t="shared" si="13"/>
        <v>1</v>
      </c>
    </row>
    <row r="403" spans="1:8" x14ac:dyDescent="0.3">
      <c r="A403" t="s">
        <v>324</v>
      </c>
      <c r="B403">
        <v>123</v>
      </c>
      <c r="C403">
        <v>255</v>
      </c>
      <c r="D403">
        <v>164</v>
      </c>
      <c r="E403" s="1">
        <v>6312</v>
      </c>
      <c r="F403">
        <v>221</v>
      </c>
      <c r="G403" s="2">
        <f t="shared" si="12"/>
        <v>45543</v>
      </c>
      <c r="H403">
        <f t="shared" si="13"/>
        <v>3</v>
      </c>
    </row>
    <row r="404" spans="1:8" x14ac:dyDescent="0.3">
      <c r="A404" t="s">
        <v>323</v>
      </c>
      <c r="B404">
        <v>144</v>
      </c>
      <c r="C404">
        <v>275</v>
      </c>
      <c r="D404">
        <v>190</v>
      </c>
      <c r="E404" s="1">
        <v>6353</v>
      </c>
      <c r="F404">
        <v>141</v>
      </c>
      <c r="G404" s="2">
        <f t="shared" si="12"/>
        <v>45544</v>
      </c>
      <c r="H404">
        <f t="shared" si="13"/>
        <v>1</v>
      </c>
    </row>
    <row r="405" spans="1:8" x14ac:dyDescent="0.3">
      <c r="A405" t="s">
        <v>322</v>
      </c>
      <c r="B405">
        <v>131</v>
      </c>
      <c r="C405">
        <v>251</v>
      </c>
      <c r="D405">
        <v>180</v>
      </c>
      <c r="E405" s="1">
        <v>6396</v>
      </c>
      <c r="F405">
        <v>148</v>
      </c>
      <c r="G405" s="2">
        <f t="shared" si="12"/>
        <v>45545</v>
      </c>
      <c r="H405">
        <f t="shared" si="13"/>
        <v>1</v>
      </c>
    </row>
    <row r="406" spans="1:8" x14ac:dyDescent="0.3">
      <c r="A406" t="s">
        <v>321</v>
      </c>
      <c r="B406">
        <v>93</v>
      </c>
      <c r="C406">
        <v>248</v>
      </c>
      <c r="D406">
        <v>175</v>
      </c>
      <c r="E406" s="1">
        <v>6410</v>
      </c>
      <c r="F406">
        <v>162</v>
      </c>
      <c r="G406" s="2">
        <f t="shared" si="12"/>
        <v>45546</v>
      </c>
      <c r="H406">
        <f t="shared" si="13"/>
        <v>1</v>
      </c>
    </row>
    <row r="407" spans="1:8" x14ac:dyDescent="0.3">
      <c r="A407" t="s">
        <v>320</v>
      </c>
      <c r="B407">
        <v>184</v>
      </c>
      <c r="C407">
        <v>280</v>
      </c>
      <c r="D407">
        <v>210</v>
      </c>
      <c r="E407" s="1">
        <v>6360</v>
      </c>
      <c r="F407">
        <v>220</v>
      </c>
      <c r="G407" s="2">
        <f t="shared" si="12"/>
        <v>45547</v>
      </c>
      <c r="H407">
        <f t="shared" si="13"/>
        <v>1</v>
      </c>
    </row>
    <row r="408" spans="1:8" x14ac:dyDescent="0.3">
      <c r="A408" t="s">
        <v>319</v>
      </c>
      <c r="B408">
        <v>81</v>
      </c>
      <c r="C408">
        <v>200</v>
      </c>
      <c r="D408">
        <v>212</v>
      </c>
      <c r="E408" s="1">
        <v>6326</v>
      </c>
      <c r="F408">
        <v>279</v>
      </c>
      <c r="G408" s="2">
        <f t="shared" si="12"/>
        <v>45548</v>
      </c>
      <c r="H408">
        <f t="shared" si="13"/>
        <v>1</v>
      </c>
    </row>
    <row r="409" spans="1:8" x14ac:dyDescent="0.3">
      <c r="A409" t="s">
        <v>318</v>
      </c>
      <c r="B409">
        <v>98</v>
      </c>
      <c r="C409">
        <v>220</v>
      </c>
      <c r="D409">
        <v>167</v>
      </c>
      <c r="E409" s="1">
        <v>6234</v>
      </c>
      <c r="F409">
        <v>210</v>
      </c>
      <c r="G409" s="2">
        <f t="shared" si="12"/>
        <v>45550</v>
      </c>
      <c r="H409">
        <f t="shared" si="13"/>
        <v>2</v>
      </c>
    </row>
    <row r="410" spans="1:8" x14ac:dyDescent="0.3">
      <c r="A410" t="s">
        <v>317</v>
      </c>
      <c r="B410">
        <v>113</v>
      </c>
      <c r="C410">
        <v>209</v>
      </c>
      <c r="D410">
        <v>160</v>
      </c>
      <c r="E410" s="1">
        <v>6229</v>
      </c>
      <c r="F410">
        <v>164</v>
      </c>
      <c r="G410" s="2">
        <f t="shared" si="12"/>
        <v>45551</v>
      </c>
      <c r="H410">
        <f t="shared" si="13"/>
        <v>1</v>
      </c>
    </row>
    <row r="411" spans="1:8" x14ac:dyDescent="0.3">
      <c r="A411" t="s">
        <v>316</v>
      </c>
      <c r="B411">
        <v>159</v>
      </c>
      <c r="C411">
        <v>304</v>
      </c>
      <c r="D411">
        <v>139</v>
      </c>
      <c r="E411" s="1">
        <v>6227</v>
      </c>
      <c r="F411">
        <v>160</v>
      </c>
      <c r="G411" s="2">
        <f t="shared" si="12"/>
        <v>45552</v>
      </c>
      <c r="H411">
        <f t="shared" si="13"/>
        <v>1</v>
      </c>
    </row>
    <row r="412" spans="1:8" x14ac:dyDescent="0.3">
      <c r="A412" t="s">
        <v>315</v>
      </c>
      <c r="B412">
        <v>116</v>
      </c>
      <c r="C412">
        <v>213</v>
      </c>
      <c r="D412">
        <v>217</v>
      </c>
      <c r="E412" s="1">
        <v>6245</v>
      </c>
      <c r="F412">
        <v>149</v>
      </c>
      <c r="G412" s="2">
        <f t="shared" si="12"/>
        <v>45553</v>
      </c>
      <c r="H412">
        <f t="shared" si="13"/>
        <v>1</v>
      </c>
    </row>
    <row r="413" spans="1:8" x14ac:dyDescent="0.3">
      <c r="A413" t="s">
        <v>314</v>
      </c>
      <c r="B413">
        <v>93</v>
      </c>
      <c r="C413">
        <v>196</v>
      </c>
      <c r="D413">
        <v>169</v>
      </c>
      <c r="E413" s="1">
        <v>6270</v>
      </c>
      <c r="F413">
        <v>188</v>
      </c>
      <c r="G413" s="2">
        <f t="shared" si="12"/>
        <v>45554</v>
      </c>
      <c r="H413">
        <f t="shared" si="13"/>
        <v>1</v>
      </c>
    </row>
    <row r="414" spans="1:8" x14ac:dyDescent="0.3">
      <c r="A414" t="s">
        <v>313</v>
      </c>
      <c r="B414">
        <v>124</v>
      </c>
      <c r="C414">
        <v>234</v>
      </c>
      <c r="D414">
        <v>161</v>
      </c>
      <c r="E414" s="1">
        <v>5989</v>
      </c>
      <c r="F414">
        <v>197</v>
      </c>
      <c r="G414" s="2">
        <f t="shared" si="12"/>
        <v>45557</v>
      </c>
      <c r="H414">
        <f t="shared" si="13"/>
        <v>3</v>
      </c>
    </row>
    <row r="415" spans="1:8" x14ac:dyDescent="0.3">
      <c r="A415" t="s">
        <v>312</v>
      </c>
      <c r="B415">
        <v>92</v>
      </c>
      <c r="C415">
        <v>203</v>
      </c>
      <c r="D415">
        <v>173</v>
      </c>
      <c r="E415" s="1">
        <v>6002</v>
      </c>
      <c r="F415">
        <v>165</v>
      </c>
      <c r="G415" s="2">
        <f t="shared" si="12"/>
        <v>45558</v>
      </c>
      <c r="H415">
        <f t="shared" si="13"/>
        <v>1</v>
      </c>
    </row>
    <row r="416" spans="1:8" x14ac:dyDescent="0.3">
      <c r="A416" t="s">
        <v>311</v>
      </c>
      <c r="B416">
        <v>186</v>
      </c>
      <c r="C416">
        <v>259</v>
      </c>
      <c r="D416">
        <v>172</v>
      </c>
      <c r="E416" s="1">
        <v>6023</v>
      </c>
      <c r="F416">
        <v>143</v>
      </c>
      <c r="G416" s="2">
        <f t="shared" si="12"/>
        <v>45559</v>
      </c>
      <c r="H416">
        <f t="shared" si="13"/>
        <v>1</v>
      </c>
    </row>
    <row r="417" spans="1:8" x14ac:dyDescent="0.3">
      <c r="A417" t="s">
        <v>310</v>
      </c>
      <c r="B417">
        <v>154</v>
      </c>
      <c r="C417">
        <v>225</v>
      </c>
      <c r="D417">
        <v>220</v>
      </c>
      <c r="E417" s="1">
        <v>6050</v>
      </c>
      <c r="F417">
        <v>169</v>
      </c>
      <c r="G417" s="2">
        <f t="shared" si="12"/>
        <v>45560</v>
      </c>
      <c r="H417">
        <f t="shared" si="13"/>
        <v>1</v>
      </c>
    </row>
    <row r="418" spans="1:8" x14ac:dyDescent="0.3">
      <c r="A418" t="s">
        <v>309</v>
      </c>
      <c r="B418">
        <v>91</v>
      </c>
      <c r="C418">
        <v>199</v>
      </c>
      <c r="D418">
        <v>172</v>
      </c>
      <c r="E418" s="1">
        <v>6090</v>
      </c>
      <c r="F418">
        <v>185</v>
      </c>
      <c r="G418" s="2">
        <f t="shared" si="12"/>
        <v>45561</v>
      </c>
      <c r="H418">
        <f t="shared" si="13"/>
        <v>1</v>
      </c>
    </row>
    <row r="419" spans="1:8" x14ac:dyDescent="0.3">
      <c r="A419" t="s">
        <v>308</v>
      </c>
      <c r="B419">
        <v>81</v>
      </c>
      <c r="C419">
        <v>213</v>
      </c>
      <c r="D419">
        <v>153</v>
      </c>
      <c r="E419" s="1">
        <v>5925</v>
      </c>
      <c r="F419">
        <v>177</v>
      </c>
      <c r="G419" s="2">
        <f t="shared" si="12"/>
        <v>45564</v>
      </c>
      <c r="H419">
        <f t="shared" si="13"/>
        <v>3</v>
      </c>
    </row>
    <row r="420" spans="1:8" x14ac:dyDescent="0.3">
      <c r="A420" t="s">
        <v>307</v>
      </c>
      <c r="B420">
        <v>209</v>
      </c>
      <c r="C420">
        <v>285</v>
      </c>
      <c r="D420">
        <v>184</v>
      </c>
      <c r="E420" s="1">
        <v>5967</v>
      </c>
      <c r="F420">
        <v>138</v>
      </c>
      <c r="G420" s="2">
        <f t="shared" si="12"/>
        <v>45565</v>
      </c>
      <c r="H420">
        <f t="shared" si="13"/>
        <v>1</v>
      </c>
    </row>
    <row r="421" spans="1:8" x14ac:dyDescent="0.3">
      <c r="A421" t="s">
        <v>306</v>
      </c>
      <c r="B421">
        <v>184</v>
      </c>
      <c r="C421">
        <v>314</v>
      </c>
      <c r="D421">
        <v>217</v>
      </c>
      <c r="E421" s="1">
        <v>6040</v>
      </c>
      <c r="F421">
        <v>137</v>
      </c>
      <c r="G421" s="2">
        <f t="shared" si="12"/>
        <v>45566</v>
      </c>
      <c r="H421">
        <f t="shared" si="13"/>
        <v>1</v>
      </c>
    </row>
    <row r="422" spans="1:8" x14ac:dyDescent="0.3">
      <c r="A422" t="s">
        <v>305</v>
      </c>
      <c r="B422">
        <v>107</v>
      </c>
      <c r="C422">
        <v>215</v>
      </c>
      <c r="D422">
        <v>230</v>
      </c>
      <c r="E422" s="1">
        <v>6091</v>
      </c>
      <c r="F422">
        <v>173</v>
      </c>
      <c r="G422" s="2">
        <f t="shared" si="12"/>
        <v>45567</v>
      </c>
      <c r="H422">
        <f t="shared" si="13"/>
        <v>1</v>
      </c>
    </row>
    <row r="423" spans="1:8" x14ac:dyDescent="0.3">
      <c r="A423" t="s">
        <v>304</v>
      </c>
      <c r="B423">
        <v>101</v>
      </c>
      <c r="C423">
        <v>162</v>
      </c>
      <c r="D423">
        <v>178</v>
      </c>
      <c r="E423" s="1">
        <v>6118</v>
      </c>
      <c r="F423">
        <v>193</v>
      </c>
      <c r="G423" s="2">
        <f t="shared" si="12"/>
        <v>45568</v>
      </c>
      <c r="H423">
        <f t="shared" si="13"/>
        <v>1</v>
      </c>
    </row>
    <row r="424" spans="1:8" x14ac:dyDescent="0.3">
      <c r="A424" t="s">
        <v>303</v>
      </c>
      <c r="B424">
        <v>99</v>
      </c>
      <c r="C424">
        <v>190</v>
      </c>
      <c r="D424">
        <v>176</v>
      </c>
      <c r="E424" s="1">
        <v>5968</v>
      </c>
      <c r="F424">
        <v>153</v>
      </c>
      <c r="G424" s="2">
        <f t="shared" si="12"/>
        <v>45572</v>
      </c>
      <c r="H424">
        <f t="shared" si="13"/>
        <v>4</v>
      </c>
    </row>
    <row r="425" spans="1:8" x14ac:dyDescent="0.3">
      <c r="A425" t="s">
        <v>302</v>
      </c>
      <c r="B425">
        <v>167</v>
      </c>
      <c r="C425">
        <v>239</v>
      </c>
      <c r="D425">
        <v>166</v>
      </c>
      <c r="E425" s="1">
        <v>6013</v>
      </c>
      <c r="F425">
        <v>123</v>
      </c>
      <c r="G425" s="2">
        <f t="shared" si="12"/>
        <v>45573</v>
      </c>
      <c r="H425">
        <f t="shared" si="13"/>
        <v>1</v>
      </c>
    </row>
    <row r="426" spans="1:8" x14ac:dyDescent="0.3">
      <c r="A426" t="s">
        <v>301</v>
      </c>
      <c r="B426">
        <v>115</v>
      </c>
      <c r="C426">
        <v>216</v>
      </c>
      <c r="D426">
        <v>169</v>
      </c>
      <c r="E426" s="1">
        <v>6047</v>
      </c>
      <c r="F426">
        <v>137</v>
      </c>
      <c r="G426" s="2">
        <f t="shared" si="12"/>
        <v>45574</v>
      </c>
      <c r="H426">
        <f t="shared" si="13"/>
        <v>1</v>
      </c>
    </row>
    <row r="427" spans="1:8" x14ac:dyDescent="0.3">
      <c r="A427" t="s">
        <v>300</v>
      </c>
      <c r="B427">
        <v>84</v>
      </c>
      <c r="C427">
        <v>158</v>
      </c>
      <c r="D427">
        <v>193</v>
      </c>
      <c r="E427" s="1">
        <v>6075</v>
      </c>
      <c r="F427">
        <v>159</v>
      </c>
      <c r="G427" s="2">
        <f t="shared" si="12"/>
        <v>45575</v>
      </c>
      <c r="H427">
        <f t="shared" si="13"/>
        <v>1</v>
      </c>
    </row>
    <row r="428" spans="1:8" x14ac:dyDescent="0.3">
      <c r="A428" t="s">
        <v>299</v>
      </c>
      <c r="B428">
        <v>130</v>
      </c>
      <c r="C428">
        <v>227</v>
      </c>
      <c r="D428">
        <v>192</v>
      </c>
      <c r="E428" s="1">
        <v>5889</v>
      </c>
      <c r="F428">
        <v>210</v>
      </c>
      <c r="G428" s="2">
        <f t="shared" si="12"/>
        <v>45578</v>
      </c>
      <c r="H428">
        <f t="shared" si="13"/>
        <v>3</v>
      </c>
    </row>
    <row r="429" spans="1:8" x14ac:dyDescent="0.3">
      <c r="A429" t="s">
        <v>298</v>
      </c>
      <c r="B429">
        <v>88</v>
      </c>
      <c r="C429">
        <v>214</v>
      </c>
      <c r="D429">
        <v>160</v>
      </c>
      <c r="E429" s="1">
        <v>5935</v>
      </c>
      <c r="F429">
        <v>106</v>
      </c>
      <c r="G429" s="2">
        <f t="shared" si="12"/>
        <v>45579</v>
      </c>
      <c r="H429">
        <f t="shared" si="13"/>
        <v>1</v>
      </c>
    </row>
    <row r="430" spans="1:8" x14ac:dyDescent="0.3">
      <c r="A430" t="s">
        <v>297</v>
      </c>
      <c r="B430">
        <v>113</v>
      </c>
      <c r="C430">
        <v>208</v>
      </c>
      <c r="D430">
        <v>159</v>
      </c>
      <c r="E430" s="1">
        <v>6013</v>
      </c>
      <c r="F430">
        <v>107</v>
      </c>
      <c r="G430" s="2">
        <f t="shared" si="12"/>
        <v>45580</v>
      </c>
      <c r="H430">
        <f t="shared" si="13"/>
        <v>1</v>
      </c>
    </row>
    <row r="431" spans="1:8" x14ac:dyDescent="0.3">
      <c r="A431" t="s">
        <v>296</v>
      </c>
      <c r="B431">
        <v>174</v>
      </c>
      <c r="C431">
        <v>285</v>
      </c>
      <c r="D431">
        <v>150</v>
      </c>
      <c r="E431" s="1">
        <v>6036</v>
      </c>
      <c r="F431">
        <v>129</v>
      </c>
      <c r="G431" s="2">
        <f t="shared" si="12"/>
        <v>45581</v>
      </c>
      <c r="H431">
        <f t="shared" si="13"/>
        <v>1</v>
      </c>
    </row>
    <row r="432" spans="1:8" x14ac:dyDescent="0.3">
      <c r="A432" t="s">
        <v>295</v>
      </c>
      <c r="B432">
        <v>104</v>
      </c>
      <c r="C432">
        <v>230</v>
      </c>
      <c r="D432">
        <v>206</v>
      </c>
      <c r="E432" s="1">
        <v>6076</v>
      </c>
      <c r="F432">
        <v>160</v>
      </c>
      <c r="G432" s="2">
        <f t="shared" si="12"/>
        <v>45582</v>
      </c>
      <c r="H432">
        <f t="shared" si="13"/>
        <v>1</v>
      </c>
    </row>
    <row r="433" spans="1:8" x14ac:dyDescent="0.3">
      <c r="A433" t="s">
        <v>294</v>
      </c>
      <c r="B433">
        <v>147</v>
      </c>
      <c r="C433">
        <v>276</v>
      </c>
      <c r="D433">
        <v>214</v>
      </c>
      <c r="E433" s="1">
        <v>5918</v>
      </c>
      <c r="F433">
        <v>195</v>
      </c>
      <c r="G433" s="2">
        <f t="shared" si="12"/>
        <v>45585</v>
      </c>
      <c r="H433">
        <f t="shared" si="13"/>
        <v>3</v>
      </c>
    </row>
    <row r="434" spans="1:8" x14ac:dyDescent="0.3">
      <c r="A434" t="s">
        <v>293</v>
      </c>
      <c r="B434">
        <v>108</v>
      </c>
      <c r="C434">
        <v>220</v>
      </c>
      <c r="D434">
        <v>213</v>
      </c>
      <c r="E434" s="1">
        <v>5966</v>
      </c>
      <c r="F434">
        <v>154</v>
      </c>
      <c r="G434" s="2">
        <f t="shared" si="12"/>
        <v>45586</v>
      </c>
      <c r="H434">
        <f t="shared" si="13"/>
        <v>1</v>
      </c>
    </row>
    <row r="435" spans="1:8" x14ac:dyDescent="0.3">
      <c r="A435" t="s">
        <v>292</v>
      </c>
      <c r="B435">
        <v>180</v>
      </c>
      <c r="C435">
        <v>280</v>
      </c>
      <c r="D435">
        <v>146</v>
      </c>
      <c r="E435" s="1">
        <v>6043</v>
      </c>
      <c r="F435">
        <v>109</v>
      </c>
      <c r="G435" s="2">
        <f t="shared" si="12"/>
        <v>45587</v>
      </c>
      <c r="H435">
        <f t="shared" si="13"/>
        <v>1</v>
      </c>
    </row>
    <row r="436" spans="1:8" x14ac:dyDescent="0.3">
      <c r="A436" t="s">
        <v>291</v>
      </c>
      <c r="B436">
        <v>134</v>
      </c>
      <c r="C436">
        <v>294</v>
      </c>
      <c r="D436">
        <v>186</v>
      </c>
      <c r="E436" s="1">
        <v>6077</v>
      </c>
      <c r="F436">
        <v>138</v>
      </c>
      <c r="G436" s="2">
        <f t="shared" si="12"/>
        <v>45588</v>
      </c>
      <c r="H436">
        <f t="shared" si="13"/>
        <v>1</v>
      </c>
    </row>
    <row r="437" spans="1:8" x14ac:dyDescent="0.3">
      <c r="A437" t="s">
        <v>290</v>
      </c>
      <c r="B437">
        <v>202</v>
      </c>
      <c r="C437">
        <v>313</v>
      </c>
      <c r="D437">
        <v>158</v>
      </c>
      <c r="E437" s="1">
        <v>5974</v>
      </c>
      <c r="F437">
        <v>192</v>
      </c>
      <c r="G437" s="2">
        <f t="shared" si="12"/>
        <v>45592</v>
      </c>
      <c r="H437">
        <f t="shared" si="13"/>
        <v>4</v>
      </c>
    </row>
    <row r="438" spans="1:8" x14ac:dyDescent="0.3">
      <c r="A438" t="s">
        <v>289</v>
      </c>
      <c r="B438">
        <v>110</v>
      </c>
      <c r="C438">
        <v>272</v>
      </c>
      <c r="D438">
        <v>193</v>
      </c>
      <c r="E438" s="1">
        <v>6008</v>
      </c>
      <c r="F438">
        <v>156</v>
      </c>
      <c r="G438" s="2">
        <f t="shared" si="12"/>
        <v>45593</v>
      </c>
      <c r="H438">
        <f t="shared" si="13"/>
        <v>1</v>
      </c>
    </row>
    <row r="439" spans="1:8" x14ac:dyDescent="0.3">
      <c r="A439" t="s">
        <v>288</v>
      </c>
      <c r="B439">
        <v>166</v>
      </c>
      <c r="C439">
        <v>277</v>
      </c>
      <c r="D439">
        <v>229</v>
      </c>
      <c r="E439" s="1">
        <v>6106</v>
      </c>
      <c r="F439">
        <v>126</v>
      </c>
      <c r="G439" s="2">
        <f t="shared" si="12"/>
        <v>45594</v>
      </c>
      <c r="H439">
        <f t="shared" si="13"/>
        <v>1</v>
      </c>
    </row>
    <row r="440" spans="1:8" x14ac:dyDescent="0.3">
      <c r="A440" t="s">
        <v>287</v>
      </c>
      <c r="B440">
        <v>136</v>
      </c>
      <c r="C440">
        <v>276</v>
      </c>
      <c r="D440">
        <v>178</v>
      </c>
      <c r="E440" s="1">
        <v>6149</v>
      </c>
      <c r="F440">
        <v>160</v>
      </c>
      <c r="G440" s="2">
        <f t="shared" si="12"/>
        <v>45595</v>
      </c>
      <c r="H440">
        <f t="shared" si="13"/>
        <v>1</v>
      </c>
    </row>
    <row r="441" spans="1:8" x14ac:dyDescent="0.3">
      <c r="A441" t="s">
        <v>286</v>
      </c>
      <c r="B441">
        <v>87</v>
      </c>
      <c r="C441">
        <v>246</v>
      </c>
      <c r="D441">
        <v>173</v>
      </c>
      <c r="E441" s="1">
        <v>6148</v>
      </c>
      <c r="F441">
        <v>177</v>
      </c>
      <c r="G441" s="2">
        <f t="shared" si="12"/>
        <v>45596</v>
      </c>
      <c r="H441">
        <f t="shared" si="13"/>
        <v>1</v>
      </c>
    </row>
    <row r="442" spans="1:8" x14ac:dyDescent="0.3">
      <c r="A442" t="s">
        <v>285</v>
      </c>
      <c r="B442">
        <v>84</v>
      </c>
      <c r="C442">
        <v>171</v>
      </c>
      <c r="D442">
        <v>157</v>
      </c>
      <c r="E442" s="1">
        <v>5990</v>
      </c>
      <c r="F442">
        <v>184</v>
      </c>
      <c r="G442" s="2">
        <f t="shared" si="12"/>
        <v>45599</v>
      </c>
      <c r="H442">
        <f t="shared" si="13"/>
        <v>3</v>
      </c>
    </row>
    <row r="443" spans="1:8" x14ac:dyDescent="0.3">
      <c r="A443" t="s">
        <v>284</v>
      </c>
      <c r="B443">
        <v>167</v>
      </c>
      <c r="C443">
        <v>209</v>
      </c>
      <c r="D443">
        <v>157</v>
      </c>
      <c r="E443" s="1">
        <v>6007</v>
      </c>
      <c r="F443">
        <v>132</v>
      </c>
      <c r="G443" s="2">
        <f t="shared" si="12"/>
        <v>45600</v>
      </c>
      <c r="H443">
        <f t="shared" si="13"/>
        <v>1</v>
      </c>
    </row>
    <row r="444" spans="1:8" x14ac:dyDescent="0.3">
      <c r="A444" t="s">
        <v>283</v>
      </c>
      <c r="B444">
        <v>109</v>
      </c>
      <c r="C444">
        <v>245</v>
      </c>
      <c r="D444">
        <v>159</v>
      </c>
      <c r="E444" s="1">
        <v>6045</v>
      </c>
      <c r="F444">
        <v>126</v>
      </c>
      <c r="G444" s="2">
        <f t="shared" si="12"/>
        <v>45601</v>
      </c>
      <c r="H444">
        <f t="shared" si="13"/>
        <v>1</v>
      </c>
    </row>
    <row r="445" spans="1:8" x14ac:dyDescent="0.3">
      <c r="A445" t="s">
        <v>282</v>
      </c>
      <c r="B445">
        <v>156</v>
      </c>
      <c r="C445">
        <v>256</v>
      </c>
      <c r="D445">
        <v>176</v>
      </c>
      <c r="E445" s="1">
        <v>6086</v>
      </c>
      <c r="F445">
        <v>137</v>
      </c>
      <c r="G445" s="2">
        <f t="shared" si="12"/>
        <v>45602</v>
      </c>
      <c r="H445">
        <f t="shared" si="13"/>
        <v>1</v>
      </c>
    </row>
    <row r="446" spans="1:8" x14ac:dyDescent="0.3">
      <c r="A446" t="s">
        <v>281</v>
      </c>
      <c r="B446">
        <v>125</v>
      </c>
      <c r="C446">
        <v>232</v>
      </c>
      <c r="D446">
        <v>192</v>
      </c>
      <c r="E446" s="1">
        <v>6084</v>
      </c>
      <c r="F446">
        <v>177</v>
      </c>
      <c r="G446" s="2">
        <f t="shared" si="12"/>
        <v>45603</v>
      </c>
      <c r="H446">
        <f t="shared" si="13"/>
        <v>1</v>
      </c>
    </row>
    <row r="447" spans="1:8" x14ac:dyDescent="0.3">
      <c r="A447" t="s">
        <v>280</v>
      </c>
      <c r="B447">
        <v>118</v>
      </c>
      <c r="C447">
        <v>139</v>
      </c>
      <c r="D447">
        <v>168</v>
      </c>
      <c r="E447" s="1">
        <v>5963</v>
      </c>
      <c r="F447">
        <v>145</v>
      </c>
      <c r="G447" s="2">
        <f t="shared" si="12"/>
        <v>45607</v>
      </c>
      <c r="H447">
        <f t="shared" si="13"/>
        <v>4</v>
      </c>
    </row>
    <row r="448" spans="1:8" x14ac:dyDescent="0.3">
      <c r="A448" t="s">
        <v>279</v>
      </c>
      <c r="B448">
        <v>142</v>
      </c>
      <c r="C448">
        <v>235</v>
      </c>
      <c r="D448">
        <v>139</v>
      </c>
      <c r="E448" s="1">
        <v>5975</v>
      </c>
      <c r="F448">
        <v>138</v>
      </c>
      <c r="G448" s="2">
        <f t="shared" si="12"/>
        <v>45608</v>
      </c>
      <c r="H448">
        <f t="shared" si="13"/>
        <v>1</v>
      </c>
    </row>
    <row r="449" spans="1:8" x14ac:dyDescent="0.3">
      <c r="A449" t="s">
        <v>278</v>
      </c>
      <c r="B449">
        <v>148</v>
      </c>
      <c r="C449">
        <v>245</v>
      </c>
      <c r="D449">
        <v>175</v>
      </c>
      <c r="E449" s="1">
        <v>5966</v>
      </c>
      <c r="F449">
        <v>151</v>
      </c>
      <c r="G449" s="2">
        <f t="shared" si="12"/>
        <v>45609</v>
      </c>
      <c r="H449">
        <f t="shared" si="13"/>
        <v>1</v>
      </c>
    </row>
    <row r="450" spans="1:8" x14ac:dyDescent="0.3">
      <c r="A450" t="s">
        <v>277</v>
      </c>
      <c r="B450">
        <v>119</v>
      </c>
      <c r="C450">
        <v>219</v>
      </c>
      <c r="D450">
        <v>210</v>
      </c>
      <c r="E450" s="1">
        <v>6025</v>
      </c>
      <c r="F450">
        <v>172</v>
      </c>
      <c r="G450" s="2">
        <f t="shared" ref="G450:G513" si="14">DATE(VALUE(RIGHT(A450,4)),MONTH(DATEVALUE(LEFT(A450,FIND(" ",A450)-1)&amp;"1")),VALUE(MID(A450,FIND(" ",A450)+1,FIND(",",A450)-FIND(" ",A450)-1)))</f>
        <v>45610</v>
      </c>
      <c r="H450">
        <f t="shared" si="13"/>
        <v>1</v>
      </c>
    </row>
    <row r="451" spans="1:8" x14ac:dyDescent="0.3">
      <c r="A451" t="s">
        <v>276</v>
      </c>
      <c r="B451">
        <v>105</v>
      </c>
      <c r="C451">
        <v>210</v>
      </c>
      <c r="D451">
        <v>149</v>
      </c>
      <c r="E451" s="1">
        <v>5816</v>
      </c>
      <c r="F451">
        <v>195</v>
      </c>
      <c r="G451" s="2">
        <f t="shared" si="14"/>
        <v>45613</v>
      </c>
      <c r="H451">
        <f t="shared" si="13"/>
        <v>3</v>
      </c>
    </row>
    <row r="452" spans="1:8" x14ac:dyDescent="0.3">
      <c r="A452" t="s">
        <v>275</v>
      </c>
      <c r="B452">
        <v>143</v>
      </c>
      <c r="C452">
        <v>203</v>
      </c>
      <c r="D452">
        <v>163</v>
      </c>
      <c r="E452" s="1">
        <v>5819</v>
      </c>
      <c r="F452">
        <v>138</v>
      </c>
      <c r="G452" s="2">
        <f t="shared" si="14"/>
        <v>45614</v>
      </c>
      <c r="H452">
        <f t="shared" ref="H452:H515" si="15">G452-G451</f>
        <v>1</v>
      </c>
    </row>
    <row r="453" spans="1:8" x14ac:dyDescent="0.3">
      <c r="A453" t="s">
        <v>274</v>
      </c>
      <c r="B453">
        <v>119</v>
      </c>
      <c r="C453">
        <v>209</v>
      </c>
      <c r="D453">
        <v>152</v>
      </c>
      <c r="E453" s="1">
        <v>5844</v>
      </c>
      <c r="F453">
        <v>146</v>
      </c>
      <c r="G453" s="2">
        <f t="shared" si="14"/>
        <v>45615</v>
      </c>
      <c r="H453">
        <f t="shared" si="15"/>
        <v>1</v>
      </c>
    </row>
    <row r="454" spans="1:8" x14ac:dyDescent="0.3">
      <c r="A454" t="s">
        <v>273</v>
      </c>
      <c r="B454">
        <v>155</v>
      </c>
      <c r="C454">
        <v>212</v>
      </c>
      <c r="D454">
        <v>181</v>
      </c>
      <c r="E454" s="1">
        <v>5879</v>
      </c>
      <c r="F454">
        <v>148</v>
      </c>
      <c r="G454" s="2">
        <f t="shared" si="14"/>
        <v>45616</v>
      </c>
      <c r="H454">
        <f t="shared" si="15"/>
        <v>1</v>
      </c>
    </row>
    <row r="455" spans="1:8" x14ac:dyDescent="0.3">
      <c r="A455" t="s">
        <v>272</v>
      </c>
      <c r="B455">
        <v>109</v>
      </c>
      <c r="C455">
        <v>214</v>
      </c>
      <c r="D455">
        <v>173</v>
      </c>
      <c r="E455" s="1">
        <v>5850</v>
      </c>
      <c r="F455">
        <v>210</v>
      </c>
      <c r="G455" s="2">
        <f t="shared" si="14"/>
        <v>45617</v>
      </c>
      <c r="H455">
        <f t="shared" si="15"/>
        <v>1</v>
      </c>
    </row>
    <row r="456" spans="1:8" x14ac:dyDescent="0.3">
      <c r="A456" t="s">
        <v>271</v>
      </c>
      <c r="B456">
        <v>191</v>
      </c>
      <c r="C456">
        <v>283</v>
      </c>
      <c r="D456">
        <v>192</v>
      </c>
      <c r="E456" s="1">
        <v>5664</v>
      </c>
      <c r="F456">
        <v>207</v>
      </c>
      <c r="G456" s="2">
        <f t="shared" si="14"/>
        <v>45620</v>
      </c>
      <c r="H456">
        <f t="shared" si="15"/>
        <v>3</v>
      </c>
    </row>
    <row r="457" spans="1:8" x14ac:dyDescent="0.3">
      <c r="A457" t="s">
        <v>270</v>
      </c>
      <c r="B457">
        <v>170</v>
      </c>
      <c r="C457">
        <v>297</v>
      </c>
      <c r="D457">
        <v>196</v>
      </c>
      <c r="E457" s="1">
        <v>5715</v>
      </c>
      <c r="F457">
        <v>129</v>
      </c>
      <c r="G457" s="2">
        <f t="shared" si="14"/>
        <v>45621</v>
      </c>
      <c r="H457">
        <f t="shared" si="15"/>
        <v>1</v>
      </c>
    </row>
    <row r="458" spans="1:8" x14ac:dyDescent="0.3">
      <c r="A458" t="s">
        <v>269</v>
      </c>
      <c r="B458">
        <v>152</v>
      </c>
      <c r="C458">
        <v>272</v>
      </c>
      <c r="D458">
        <v>214</v>
      </c>
      <c r="E458" s="1">
        <v>5826</v>
      </c>
      <c r="F458">
        <v>112</v>
      </c>
      <c r="G458" s="2">
        <f t="shared" si="14"/>
        <v>45622</v>
      </c>
      <c r="H458">
        <f t="shared" si="15"/>
        <v>1</v>
      </c>
    </row>
    <row r="459" spans="1:8" x14ac:dyDescent="0.3">
      <c r="A459" t="s">
        <v>268</v>
      </c>
      <c r="B459">
        <v>239</v>
      </c>
      <c r="C459">
        <v>367</v>
      </c>
      <c r="D459">
        <v>224</v>
      </c>
      <c r="E459" s="1">
        <v>5862</v>
      </c>
      <c r="F459">
        <v>211</v>
      </c>
      <c r="G459" s="2">
        <f t="shared" si="14"/>
        <v>45623</v>
      </c>
      <c r="H459">
        <f t="shared" si="15"/>
        <v>1</v>
      </c>
    </row>
    <row r="460" spans="1:8" x14ac:dyDescent="0.3">
      <c r="A460" t="s">
        <v>267</v>
      </c>
      <c r="B460">
        <v>113</v>
      </c>
      <c r="C460">
        <v>280</v>
      </c>
      <c r="D460">
        <v>237</v>
      </c>
      <c r="E460" s="1">
        <v>5963</v>
      </c>
      <c r="F460">
        <v>143</v>
      </c>
      <c r="G460" s="2">
        <f t="shared" si="14"/>
        <v>45624</v>
      </c>
      <c r="H460">
        <f t="shared" si="15"/>
        <v>1</v>
      </c>
    </row>
    <row r="461" spans="1:8" x14ac:dyDescent="0.3">
      <c r="A461" t="s">
        <v>266</v>
      </c>
      <c r="B461">
        <v>196</v>
      </c>
      <c r="C461">
        <v>306</v>
      </c>
      <c r="D461">
        <v>187</v>
      </c>
      <c r="E461" s="1">
        <v>5986</v>
      </c>
      <c r="F461">
        <v>149</v>
      </c>
      <c r="G461" s="2">
        <f t="shared" si="14"/>
        <v>45627</v>
      </c>
      <c r="H461">
        <f t="shared" si="15"/>
        <v>3</v>
      </c>
    </row>
    <row r="462" spans="1:8" x14ac:dyDescent="0.3">
      <c r="A462" t="s">
        <v>265</v>
      </c>
      <c r="B462">
        <v>236</v>
      </c>
      <c r="C462">
        <v>330</v>
      </c>
      <c r="D462">
        <v>222</v>
      </c>
      <c r="E462" s="1">
        <v>6061</v>
      </c>
      <c r="F462">
        <v>115</v>
      </c>
      <c r="G462" s="2">
        <f t="shared" si="14"/>
        <v>45628</v>
      </c>
      <c r="H462">
        <f t="shared" si="15"/>
        <v>1</v>
      </c>
    </row>
    <row r="463" spans="1:8" x14ac:dyDescent="0.3">
      <c r="A463" t="s">
        <v>264</v>
      </c>
      <c r="B463">
        <v>81</v>
      </c>
      <c r="C463">
        <v>230</v>
      </c>
      <c r="D463">
        <v>242</v>
      </c>
      <c r="E463" s="1">
        <v>6192</v>
      </c>
      <c r="F463">
        <v>107</v>
      </c>
      <c r="G463" s="2">
        <f t="shared" si="14"/>
        <v>45629</v>
      </c>
      <c r="H463">
        <f t="shared" si="15"/>
        <v>1</v>
      </c>
    </row>
    <row r="464" spans="1:8" x14ac:dyDescent="0.3">
      <c r="A464" t="s">
        <v>263</v>
      </c>
      <c r="B464">
        <v>118</v>
      </c>
      <c r="C464">
        <v>245</v>
      </c>
      <c r="D464">
        <v>160</v>
      </c>
      <c r="E464" s="1">
        <v>6269</v>
      </c>
      <c r="F464">
        <v>115</v>
      </c>
      <c r="G464" s="2">
        <f t="shared" si="14"/>
        <v>45630</v>
      </c>
      <c r="H464">
        <f t="shared" si="15"/>
        <v>1</v>
      </c>
    </row>
    <row r="465" spans="1:8" x14ac:dyDescent="0.3">
      <c r="A465" t="s">
        <v>262</v>
      </c>
      <c r="B465">
        <v>218</v>
      </c>
      <c r="C465">
        <v>283</v>
      </c>
      <c r="D465">
        <v>208</v>
      </c>
      <c r="E465" s="1">
        <v>6310</v>
      </c>
      <c r="F465">
        <v>150</v>
      </c>
      <c r="G465" s="2">
        <f t="shared" si="14"/>
        <v>45631</v>
      </c>
      <c r="H465">
        <f t="shared" si="15"/>
        <v>1</v>
      </c>
    </row>
    <row r="466" spans="1:8" x14ac:dyDescent="0.3">
      <c r="A466" t="s">
        <v>261</v>
      </c>
      <c r="B466">
        <v>132</v>
      </c>
      <c r="C466">
        <v>243</v>
      </c>
      <c r="D466">
        <v>183</v>
      </c>
      <c r="E466" s="1">
        <v>6286</v>
      </c>
      <c r="F466">
        <v>172</v>
      </c>
      <c r="G466" s="2">
        <f t="shared" si="14"/>
        <v>45634</v>
      </c>
      <c r="H466">
        <f t="shared" si="15"/>
        <v>3</v>
      </c>
    </row>
    <row r="467" spans="1:8" x14ac:dyDescent="0.3">
      <c r="A467" t="s">
        <v>260</v>
      </c>
      <c r="B467">
        <v>224</v>
      </c>
      <c r="C467">
        <v>315</v>
      </c>
      <c r="D467">
        <v>152</v>
      </c>
      <c r="E467" s="1">
        <v>6268</v>
      </c>
      <c r="F467">
        <v>174</v>
      </c>
      <c r="G467" s="2">
        <f t="shared" si="14"/>
        <v>45635</v>
      </c>
      <c r="H467">
        <f t="shared" si="15"/>
        <v>1</v>
      </c>
    </row>
    <row r="468" spans="1:8" x14ac:dyDescent="0.3">
      <c r="A468" t="s">
        <v>259</v>
      </c>
      <c r="B468">
        <v>167</v>
      </c>
      <c r="C468">
        <v>326</v>
      </c>
      <c r="D468">
        <v>213</v>
      </c>
      <c r="E468" s="1">
        <v>6310</v>
      </c>
      <c r="F468">
        <v>149</v>
      </c>
      <c r="G468" s="2">
        <f t="shared" si="14"/>
        <v>45636</v>
      </c>
      <c r="H468">
        <f t="shared" si="15"/>
        <v>1</v>
      </c>
    </row>
    <row r="469" spans="1:8" x14ac:dyDescent="0.3">
      <c r="A469" t="s">
        <v>258</v>
      </c>
      <c r="B469">
        <v>209</v>
      </c>
      <c r="C469">
        <v>353</v>
      </c>
      <c r="D469">
        <v>232</v>
      </c>
      <c r="E469" s="1">
        <v>6402</v>
      </c>
      <c r="F469">
        <v>152</v>
      </c>
      <c r="G469" s="2">
        <f t="shared" si="14"/>
        <v>45637</v>
      </c>
      <c r="H469">
        <f t="shared" si="15"/>
        <v>1</v>
      </c>
    </row>
    <row r="470" spans="1:8" x14ac:dyDescent="0.3">
      <c r="A470" t="s">
        <v>257</v>
      </c>
      <c r="B470">
        <v>153</v>
      </c>
      <c r="C470">
        <v>253</v>
      </c>
      <c r="D470">
        <v>286</v>
      </c>
      <c r="E470" s="1">
        <v>6481</v>
      </c>
      <c r="F470">
        <v>194</v>
      </c>
      <c r="G470" s="2">
        <f t="shared" si="14"/>
        <v>45638</v>
      </c>
      <c r="H470">
        <f t="shared" si="15"/>
        <v>1</v>
      </c>
    </row>
    <row r="471" spans="1:8" x14ac:dyDescent="0.3">
      <c r="A471" t="s">
        <v>256</v>
      </c>
      <c r="B471">
        <v>180</v>
      </c>
      <c r="C471">
        <v>337</v>
      </c>
      <c r="D471">
        <v>219</v>
      </c>
      <c r="E471" s="1">
        <v>6408</v>
      </c>
      <c r="F471">
        <v>224</v>
      </c>
      <c r="G471" s="2">
        <f t="shared" si="14"/>
        <v>45641</v>
      </c>
      <c r="H471">
        <f t="shared" si="15"/>
        <v>3</v>
      </c>
    </row>
    <row r="472" spans="1:8" x14ac:dyDescent="0.3">
      <c r="A472" t="s">
        <v>255</v>
      </c>
      <c r="B472">
        <v>133</v>
      </c>
      <c r="C472">
        <v>287</v>
      </c>
      <c r="D472">
        <v>189</v>
      </c>
      <c r="E472" s="1">
        <v>6454</v>
      </c>
      <c r="F472">
        <v>149</v>
      </c>
      <c r="G472" s="2">
        <f t="shared" si="14"/>
        <v>45642</v>
      </c>
      <c r="H472">
        <f t="shared" si="15"/>
        <v>1</v>
      </c>
    </row>
    <row r="473" spans="1:8" x14ac:dyDescent="0.3">
      <c r="A473" t="s">
        <v>254</v>
      </c>
      <c r="B473">
        <v>187</v>
      </c>
      <c r="C473">
        <v>310</v>
      </c>
      <c r="D473">
        <v>247</v>
      </c>
      <c r="E473" s="1">
        <v>6506</v>
      </c>
      <c r="F473">
        <v>151</v>
      </c>
      <c r="G473" s="2">
        <f t="shared" si="14"/>
        <v>45643</v>
      </c>
      <c r="H473">
        <f t="shared" si="15"/>
        <v>1</v>
      </c>
    </row>
    <row r="474" spans="1:8" x14ac:dyDescent="0.3">
      <c r="A474" t="s">
        <v>253</v>
      </c>
      <c r="B474">
        <v>168</v>
      </c>
      <c r="C474">
        <v>285</v>
      </c>
      <c r="D474">
        <v>210</v>
      </c>
      <c r="E474" s="1">
        <v>6598</v>
      </c>
      <c r="F474">
        <v>134</v>
      </c>
      <c r="G474" s="2">
        <f t="shared" si="14"/>
        <v>45644</v>
      </c>
      <c r="H474">
        <f t="shared" si="15"/>
        <v>1</v>
      </c>
    </row>
    <row r="475" spans="1:8" x14ac:dyDescent="0.3">
      <c r="A475" t="s">
        <v>252</v>
      </c>
      <c r="B475">
        <v>269</v>
      </c>
      <c r="C475">
        <v>412</v>
      </c>
      <c r="D475">
        <v>204</v>
      </c>
      <c r="E475" s="1">
        <v>6600</v>
      </c>
      <c r="F475">
        <v>238</v>
      </c>
      <c r="G475" s="2">
        <f t="shared" si="14"/>
        <v>45645</v>
      </c>
      <c r="H475">
        <f t="shared" si="15"/>
        <v>1</v>
      </c>
    </row>
    <row r="476" spans="1:8" x14ac:dyDescent="0.3">
      <c r="A476" t="s">
        <v>251</v>
      </c>
      <c r="B476">
        <v>100</v>
      </c>
      <c r="C476">
        <v>255</v>
      </c>
      <c r="D476">
        <v>236</v>
      </c>
      <c r="E476" s="1">
        <v>6595</v>
      </c>
      <c r="F476">
        <v>268</v>
      </c>
      <c r="G476" s="2">
        <f t="shared" si="14"/>
        <v>45648</v>
      </c>
      <c r="H476">
        <f t="shared" si="15"/>
        <v>3</v>
      </c>
    </row>
    <row r="477" spans="1:8" x14ac:dyDescent="0.3">
      <c r="A477" t="s">
        <v>250</v>
      </c>
      <c r="B477">
        <v>205</v>
      </c>
      <c r="C477">
        <v>294</v>
      </c>
      <c r="D477">
        <v>177</v>
      </c>
      <c r="E477" s="1">
        <v>6548</v>
      </c>
      <c r="F477">
        <v>231</v>
      </c>
      <c r="G477" s="2">
        <f t="shared" si="14"/>
        <v>45649</v>
      </c>
      <c r="H477">
        <f t="shared" si="15"/>
        <v>1</v>
      </c>
    </row>
    <row r="478" spans="1:8" x14ac:dyDescent="0.3">
      <c r="A478" t="s">
        <v>249</v>
      </c>
      <c r="B478">
        <v>161</v>
      </c>
      <c r="C478">
        <v>304</v>
      </c>
      <c r="D478">
        <v>211</v>
      </c>
      <c r="E478" s="1">
        <v>6622</v>
      </c>
      <c r="F478">
        <v>155</v>
      </c>
      <c r="G478" s="2">
        <f t="shared" si="14"/>
        <v>45650</v>
      </c>
      <c r="H478">
        <f t="shared" si="15"/>
        <v>1</v>
      </c>
    </row>
    <row r="479" spans="1:8" x14ac:dyDescent="0.3">
      <c r="A479" t="s">
        <v>248</v>
      </c>
      <c r="B479">
        <v>57</v>
      </c>
      <c r="C479">
        <v>162</v>
      </c>
      <c r="D479">
        <v>193</v>
      </c>
      <c r="E479" s="1">
        <v>6689</v>
      </c>
      <c r="F479">
        <v>107</v>
      </c>
      <c r="G479" s="2">
        <f t="shared" si="14"/>
        <v>45651</v>
      </c>
      <c r="H479">
        <f t="shared" si="15"/>
        <v>1</v>
      </c>
    </row>
    <row r="480" spans="1:8" x14ac:dyDescent="0.3">
      <c r="A480" t="s">
        <v>247</v>
      </c>
      <c r="B480">
        <v>80</v>
      </c>
      <c r="C480">
        <v>122</v>
      </c>
      <c r="D480">
        <v>152</v>
      </c>
      <c r="E480" s="1">
        <v>6707</v>
      </c>
      <c r="F480">
        <v>135</v>
      </c>
      <c r="G480" s="2">
        <f t="shared" si="14"/>
        <v>45652</v>
      </c>
      <c r="H480">
        <f t="shared" si="15"/>
        <v>1</v>
      </c>
    </row>
    <row r="481" spans="1:8" x14ac:dyDescent="0.3">
      <c r="A481" t="s">
        <v>246</v>
      </c>
      <c r="B481">
        <v>107</v>
      </c>
      <c r="C481">
        <v>170</v>
      </c>
      <c r="D481">
        <v>133</v>
      </c>
      <c r="E481" s="1">
        <v>6465</v>
      </c>
      <c r="F481">
        <v>216</v>
      </c>
      <c r="G481" s="2">
        <f t="shared" si="14"/>
        <v>45655</v>
      </c>
      <c r="H481">
        <f t="shared" si="15"/>
        <v>3</v>
      </c>
    </row>
    <row r="482" spans="1:8" x14ac:dyDescent="0.3">
      <c r="A482" t="s">
        <v>245</v>
      </c>
      <c r="B482">
        <v>99</v>
      </c>
      <c r="C482">
        <v>156</v>
      </c>
      <c r="D482">
        <v>139</v>
      </c>
      <c r="E482" s="1">
        <v>6454</v>
      </c>
      <c r="F482">
        <v>177</v>
      </c>
      <c r="G482" s="2">
        <f t="shared" si="14"/>
        <v>45656</v>
      </c>
      <c r="H482">
        <f t="shared" si="15"/>
        <v>1</v>
      </c>
    </row>
    <row r="483" spans="1:8" x14ac:dyDescent="0.3">
      <c r="A483" t="s">
        <v>244</v>
      </c>
      <c r="B483">
        <v>25</v>
      </c>
      <c r="C483">
        <v>66</v>
      </c>
      <c r="D483">
        <v>94</v>
      </c>
      <c r="E483" s="1">
        <v>6405</v>
      </c>
      <c r="F483">
        <v>144</v>
      </c>
      <c r="G483" s="2">
        <f t="shared" si="14"/>
        <v>45658</v>
      </c>
      <c r="H483">
        <f t="shared" si="15"/>
        <v>2</v>
      </c>
    </row>
    <row r="484" spans="1:8" x14ac:dyDescent="0.3">
      <c r="A484" t="s">
        <v>243</v>
      </c>
      <c r="B484">
        <v>35</v>
      </c>
      <c r="C484">
        <v>70</v>
      </c>
      <c r="D484">
        <v>53</v>
      </c>
      <c r="E484" s="1">
        <v>6292</v>
      </c>
      <c r="F484">
        <v>170</v>
      </c>
      <c r="G484" s="2">
        <f t="shared" si="14"/>
        <v>45659</v>
      </c>
      <c r="H484">
        <f t="shared" si="15"/>
        <v>1</v>
      </c>
    </row>
    <row r="485" spans="1:8" x14ac:dyDescent="0.3">
      <c r="A485" t="s">
        <v>242</v>
      </c>
      <c r="B485">
        <v>43</v>
      </c>
      <c r="C485">
        <v>73</v>
      </c>
      <c r="D485">
        <v>64</v>
      </c>
      <c r="E485" s="1">
        <v>5882</v>
      </c>
      <c r="F485">
        <v>185</v>
      </c>
      <c r="G485" s="2">
        <f t="shared" si="14"/>
        <v>45662</v>
      </c>
      <c r="H485">
        <f t="shared" si="15"/>
        <v>3</v>
      </c>
    </row>
    <row r="486" spans="1:8" x14ac:dyDescent="0.3">
      <c r="A486" t="s">
        <v>241</v>
      </c>
      <c r="B486">
        <v>41</v>
      </c>
      <c r="C486">
        <v>60</v>
      </c>
      <c r="D486">
        <v>71</v>
      </c>
      <c r="E486" s="1">
        <v>5769</v>
      </c>
      <c r="F486">
        <v>190</v>
      </c>
      <c r="G486" s="2">
        <f t="shared" si="14"/>
        <v>45663</v>
      </c>
      <c r="H486">
        <f t="shared" si="15"/>
        <v>1</v>
      </c>
    </row>
    <row r="487" spans="1:8" x14ac:dyDescent="0.3">
      <c r="A487" t="s">
        <v>240</v>
      </c>
      <c r="B487">
        <v>65</v>
      </c>
      <c r="C487">
        <v>83</v>
      </c>
      <c r="D487">
        <v>65</v>
      </c>
      <c r="E487" s="1">
        <v>5703</v>
      </c>
      <c r="F487">
        <v>133</v>
      </c>
      <c r="G487" s="2">
        <f t="shared" si="14"/>
        <v>45664</v>
      </c>
      <c r="H487">
        <f t="shared" si="15"/>
        <v>1</v>
      </c>
    </row>
    <row r="488" spans="1:8" x14ac:dyDescent="0.3">
      <c r="A488" t="s">
        <v>239</v>
      </c>
      <c r="B488">
        <v>38</v>
      </c>
      <c r="C488">
        <v>80</v>
      </c>
      <c r="D488">
        <v>82</v>
      </c>
      <c r="E488" s="1">
        <v>5605</v>
      </c>
      <c r="F488">
        <v>184</v>
      </c>
      <c r="G488" s="2">
        <f t="shared" si="14"/>
        <v>45665</v>
      </c>
      <c r="H488">
        <f t="shared" si="15"/>
        <v>1</v>
      </c>
    </row>
    <row r="489" spans="1:8" x14ac:dyDescent="0.3">
      <c r="A489" t="s">
        <v>238</v>
      </c>
      <c r="B489">
        <v>56</v>
      </c>
      <c r="C489">
        <v>82</v>
      </c>
      <c r="D489">
        <v>68</v>
      </c>
      <c r="E489" s="1">
        <v>5507</v>
      </c>
      <c r="F489">
        <v>164</v>
      </c>
      <c r="G489" s="2">
        <f t="shared" si="14"/>
        <v>45666</v>
      </c>
      <c r="H489">
        <f t="shared" si="15"/>
        <v>1</v>
      </c>
    </row>
    <row r="490" spans="1:8" x14ac:dyDescent="0.3">
      <c r="A490" t="s">
        <v>237</v>
      </c>
      <c r="B490">
        <v>74</v>
      </c>
      <c r="C490">
        <v>103</v>
      </c>
      <c r="D490">
        <v>80</v>
      </c>
      <c r="E490" s="1">
        <v>5092</v>
      </c>
      <c r="F490">
        <v>235</v>
      </c>
      <c r="G490" s="2">
        <f t="shared" si="14"/>
        <v>45669</v>
      </c>
      <c r="H490">
        <f t="shared" si="15"/>
        <v>3</v>
      </c>
    </row>
    <row r="491" spans="1:8" x14ac:dyDescent="0.3">
      <c r="A491" t="s">
        <v>236</v>
      </c>
      <c r="B491">
        <v>68</v>
      </c>
      <c r="C491">
        <v>107</v>
      </c>
      <c r="D491">
        <v>102</v>
      </c>
      <c r="E491" s="1">
        <v>5019</v>
      </c>
      <c r="F491">
        <v>181</v>
      </c>
      <c r="G491" s="2">
        <f t="shared" si="14"/>
        <v>45670</v>
      </c>
      <c r="H491">
        <f t="shared" si="15"/>
        <v>1</v>
      </c>
    </row>
    <row r="492" spans="1:8" x14ac:dyDescent="0.3">
      <c r="A492" t="s">
        <v>235</v>
      </c>
      <c r="B492">
        <v>92</v>
      </c>
      <c r="C492">
        <v>124</v>
      </c>
      <c r="D492">
        <v>93</v>
      </c>
      <c r="E492" s="1">
        <v>4957</v>
      </c>
      <c r="F492">
        <v>139</v>
      </c>
      <c r="G492" s="2">
        <f t="shared" si="14"/>
        <v>45671</v>
      </c>
      <c r="H492">
        <f t="shared" si="15"/>
        <v>1</v>
      </c>
    </row>
    <row r="493" spans="1:8" x14ac:dyDescent="0.3">
      <c r="A493" t="s">
        <v>234</v>
      </c>
      <c r="B493">
        <v>113</v>
      </c>
      <c r="C493">
        <v>162</v>
      </c>
      <c r="D493">
        <v>107</v>
      </c>
      <c r="E493" s="1">
        <v>4903</v>
      </c>
      <c r="F493">
        <v>164</v>
      </c>
      <c r="G493" s="2">
        <f t="shared" si="14"/>
        <v>45672</v>
      </c>
      <c r="H493">
        <f t="shared" si="15"/>
        <v>1</v>
      </c>
    </row>
    <row r="494" spans="1:8" x14ac:dyDescent="0.3">
      <c r="A494" t="s">
        <v>233</v>
      </c>
      <c r="B494">
        <v>106</v>
      </c>
      <c r="C494">
        <v>196</v>
      </c>
      <c r="D494">
        <v>131</v>
      </c>
      <c r="E494" s="1">
        <v>4881</v>
      </c>
      <c r="F494">
        <v>159</v>
      </c>
      <c r="G494" s="2">
        <f t="shared" si="14"/>
        <v>45673</v>
      </c>
      <c r="H494">
        <f t="shared" si="15"/>
        <v>1</v>
      </c>
    </row>
    <row r="495" spans="1:8" x14ac:dyDescent="0.3">
      <c r="A495" t="s">
        <v>232</v>
      </c>
      <c r="B495">
        <v>86</v>
      </c>
      <c r="C495">
        <v>152</v>
      </c>
      <c r="D495">
        <v>168</v>
      </c>
      <c r="E495" s="1">
        <v>4628</v>
      </c>
      <c r="F495">
        <v>176</v>
      </c>
      <c r="G495" s="2">
        <f t="shared" si="14"/>
        <v>45676</v>
      </c>
      <c r="H495">
        <f t="shared" si="15"/>
        <v>3</v>
      </c>
    </row>
    <row r="496" spans="1:8" x14ac:dyDescent="0.3">
      <c r="A496" t="s">
        <v>231</v>
      </c>
      <c r="B496">
        <v>84</v>
      </c>
      <c r="C496">
        <v>118</v>
      </c>
      <c r="D496">
        <v>136</v>
      </c>
      <c r="E496" s="1">
        <v>4638</v>
      </c>
      <c r="F496">
        <v>127</v>
      </c>
      <c r="G496" s="2">
        <f t="shared" si="14"/>
        <v>45677</v>
      </c>
      <c r="H496">
        <f t="shared" si="15"/>
        <v>1</v>
      </c>
    </row>
    <row r="497" spans="1:8" x14ac:dyDescent="0.3">
      <c r="A497" t="s">
        <v>230</v>
      </c>
      <c r="B497">
        <v>59</v>
      </c>
      <c r="C497">
        <v>64</v>
      </c>
      <c r="D497">
        <v>117</v>
      </c>
      <c r="E497" s="1">
        <v>4728</v>
      </c>
      <c r="F497">
        <v>54</v>
      </c>
      <c r="G497" s="2">
        <f t="shared" si="14"/>
        <v>45678</v>
      </c>
      <c r="H497">
        <f t="shared" si="15"/>
        <v>1</v>
      </c>
    </row>
    <row r="498" spans="1:8" x14ac:dyDescent="0.3">
      <c r="A498" t="s">
        <v>229</v>
      </c>
      <c r="B498">
        <v>62</v>
      </c>
      <c r="C498">
        <v>97</v>
      </c>
      <c r="D498">
        <v>52</v>
      </c>
      <c r="E498" s="1">
        <v>4717</v>
      </c>
      <c r="F498">
        <v>83</v>
      </c>
      <c r="G498" s="2">
        <f t="shared" si="14"/>
        <v>45679</v>
      </c>
      <c r="H498">
        <f t="shared" si="15"/>
        <v>1</v>
      </c>
    </row>
    <row r="499" spans="1:8" x14ac:dyDescent="0.3">
      <c r="A499" t="s">
        <v>228</v>
      </c>
      <c r="B499">
        <v>91</v>
      </c>
      <c r="C499">
        <v>75</v>
      </c>
      <c r="D499">
        <v>97</v>
      </c>
      <c r="E499" s="1">
        <v>4621</v>
      </c>
      <c r="F499">
        <v>174</v>
      </c>
      <c r="G499" s="2">
        <f t="shared" si="14"/>
        <v>45680</v>
      </c>
      <c r="H499">
        <f t="shared" si="15"/>
        <v>1</v>
      </c>
    </row>
    <row r="500" spans="1:8" x14ac:dyDescent="0.3">
      <c r="A500" t="s">
        <v>227</v>
      </c>
      <c r="B500">
        <v>29</v>
      </c>
      <c r="C500">
        <v>51</v>
      </c>
      <c r="D500">
        <v>11</v>
      </c>
      <c r="E500" s="1">
        <v>4241</v>
      </c>
      <c r="F500">
        <v>182</v>
      </c>
      <c r="G500" s="2">
        <f t="shared" si="14"/>
        <v>45683</v>
      </c>
      <c r="H500">
        <f t="shared" si="15"/>
        <v>3</v>
      </c>
    </row>
    <row r="501" spans="1:8" x14ac:dyDescent="0.3">
      <c r="A501" t="s">
        <v>226</v>
      </c>
      <c r="B501">
        <v>33</v>
      </c>
      <c r="C501">
        <v>53</v>
      </c>
      <c r="D501">
        <v>34</v>
      </c>
      <c r="E501" s="1">
        <v>4161</v>
      </c>
      <c r="F501">
        <v>127</v>
      </c>
      <c r="G501" s="2">
        <f t="shared" si="14"/>
        <v>45684</v>
      </c>
      <c r="H501">
        <f t="shared" si="15"/>
        <v>1</v>
      </c>
    </row>
    <row r="502" spans="1:8" x14ac:dyDescent="0.3">
      <c r="A502" t="s">
        <v>225</v>
      </c>
      <c r="B502">
        <v>32</v>
      </c>
      <c r="C502">
        <v>49</v>
      </c>
      <c r="D502">
        <v>39</v>
      </c>
      <c r="E502" s="1">
        <v>4096</v>
      </c>
      <c r="F502">
        <v>101</v>
      </c>
      <c r="G502" s="2">
        <f t="shared" si="14"/>
        <v>45685</v>
      </c>
      <c r="H502">
        <f t="shared" si="15"/>
        <v>1</v>
      </c>
    </row>
    <row r="503" spans="1:8" x14ac:dyDescent="0.3">
      <c r="A503" t="s">
        <v>224</v>
      </c>
      <c r="B503">
        <v>32</v>
      </c>
      <c r="C503">
        <v>50</v>
      </c>
      <c r="D503">
        <v>39</v>
      </c>
      <c r="E503" s="1">
        <v>4036</v>
      </c>
      <c r="F503">
        <v>99</v>
      </c>
      <c r="G503" s="2">
        <f t="shared" si="14"/>
        <v>45686</v>
      </c>
      <c r="H503">
        <f t="shared" si="15"/>
        <v>1</v>
      </c>
    </row>
    <row r="504" spans="1:8" x14ac:dyDescent="0.3">
      <c r="A504" t="s">
        <v>223</v>
      </c>
      <c r="B504">
        <v>47</v>
      </c>
      <c r="C504">
        <v>42</v>
      </c>
      <c r="D504">
        <v>47</v>
      </c>
      <c r="E504" s="1">
        <v>3923</v>
      </c>
      <c r="F504">
        <v>159</v>
      </c>
      <c r="G504" s="2">
        <f t="shared" si="14"/>
        <v>45687</v>
      </c>
      <c r="H504">
        <f t="shared" si="15"/>
        <v>1</v>
      </c>
    </row>
    <row r="505" spans="1:8" x14ac:dyDescent="0.3">
      <c r="A505" t="s">
        <v>222</v>
      </c>
      <c r="B505">
        <v>20</v>
      </c>
      <c r="C505">
        <v>22</v>
      </c>
      <c r="D505">
        <v>41</v>
      </c>
      <c r="E505" s="1">
        <v>3483</v>
      </c>
      <c r="F505">
        <v>168</v>
      </c>
      <c r="G505" s="2">
        <f t="shared" si="14"/>
        <v>45690</v>
      </c>
      <c r="H505">
        <f t="shared" si="15"/>
        <v>3</v>
      </c>
    </row>
    <row r="506" spans="1:8" x14ac:dyDescent="0.3">
      <c r="A506" t="s">
        <v>221</v>
      </c>
      <c r="B506">
        <v>23</v>
      </c>
      <c r="C506">
        <v>45</v>
      </c>
      <c r="D506">
        <v>11</v>
      </c>
      <c r="E506" s="1">
        <v>3403</v>
      </c>
      <c r="F506">
        <v>102</v>
      </c>
      <c r="G506" s="2">
        <f t="shared" si="14"/>
        <v>45691</v>
      </c>
      <c r="H506">
        <f t="shared" si="15"/>
        <v>1</v>
      </c>
    </row>
    <row r="507" spans="1:8" x14ac:dyDescent="0.3">
      <c r="A507" t="s">
        <v>220</v>
      </c>
      <c r="B507">
        <v>34</v>
      </c>
      <c r="C507">
        <v>54</v>
      </c>
      <c r="D507">
        <v>29</v>
      </c>
      <c r="E507" s="1">
        <v>3359</v>
      </c>
      <c r="F507">
        <v>74</v>
      </c>
      <c r="G507" s="2">
        <f t="shared" si="14"/>
        <v>45692</v>
      </c>
      <c r="H507">
        <f t="shared" si="15"/>
        <v>1</v>
      </c>
    </row>
    <row r="508" spans="1:8" x14ac:dyDescent="0.3">
      <c r="A508" t="s">
        <v>219</v>
      </c>
      <c r="B508">
        <v>26</v>
      </c>
      <c r="C508">
        <v>36</v>
      </c>
      <c r="D508">
        <v>36</v>
      </c>
      <c r="E508" s="1">
        <v>3290</v>
      </c>
      <c r="F508">
        <v>104</v>
      </c>
      <c r="G508" s="2">
        <f t="shared" si="14"/>
        <v>45693</v>
      </c>
      <c r="H508">
        <f t="shared" si="15"/>
        <v>1</v>
      </c>
    </row>
    <row r="509" spans="1:8" x14ac:dyDescent="0.3">
      <c r="A509" t="s">
        <v>218</v>
      </c>
      <c r="B509">
        <v>25</v>
      </c>
      <c r="C509">
        <v>32</v>
      </c>
      <c r="D509">
        <v>27</v>
      </c>
      <c r="E509" s="1">
        <v>3181</v>
      </c>
      <c r="F509">
        <v>145</v>
      </c>
      <c r="G509" s="2">
        <f t="shared" si="14"/>
        <v>45694</v>
      </c>
      <c r="H509">
        <f t="shared" si="15"/>
        <v>1</v>
      </c>
    </row>
    <row r="510" spans="1:8" x14ac:dyDescent="0.3">
      <c r="A510" t="s">
        <v>217</v>
      </c>
      <c r="B510">
        <v>15</v>
      </c>
      <c r="C510">
        <v>13</v>
      </c>
      <c r="D510">
        <v>23</v>
      </c>
      <c r="E510" s="1">
        <v>2878</v>
      </c>
      <c r="F510">
        <v>99</v>
      </c>
      <c r="G510" s="2">
        <f t="shared" si="14"/>
        <v>45697</v>
      </c>
      <c r="H510">
        <f t="shared" si="15"/>
        <v>3</v>
      </c>
    </row>
    <row r="511" spans="1:8" x14ac:dyDescent="0.3">
      <c r="A511" t="s">
        <v>216</v>
      </c>
      <c r="B511">
        <v>16</v>
      </c>
      <c r="C511">
        <v>18</v>
      </c>
      <c r="D511">
        <v>15</v>
      </c>
      <c r="E511" s="1">
        <v>2834</v>
      </c>
      <c r="F511">
        <v>63</v>
      </c>
      <c r="G511" s="2">
        <f t="shared" si="14"/>
        <v>45698</v>
      </c>
      <c r="H511">
        <f t="shared" si="15"/>
        <v>1</v>
      </c>
    </row>
    <row r="512" spans="1:8" x14ac:dyDescent="0.3">
      <c r="A512" t="s">
        <v>215</v>
      </c>
      <c r="B512">
        <v>11</v>
      </c>
      <c r="C512">
        <v>22</v>
      </c>
      <c r="D512">
        <v>12</v>
      </c>
      <c r="E512" s="1">
        <v>2799</v>
      </c>
      <c r="F512">
        <v>50</v>
      </c>
      <c r="G512" s="2">
        <f t="shared" si="14"/>
        <v>45699</v>
      </c>
      <c r="H512">
        <f t="shared" si="15"/>
        <v>1</v>
      </c>
    </row>
    <row r="513" spans="1:8" x14ac:dyDescent="0.3">
      <c r="A513" t="s">
        <v>214</v>
      </c>
      <c r="B513">
        <v>16</v>
      </c>
      <c r="C513">
        <v>20</v>
      </c>
      <c r="D513">
        <v>20</v>
      </c>
      <c r="E513" s="1">
        <v>2752</v>
      </c>
      <c r="F513">
        <v>66</v>
      </c>
      <c r="G513" s="2">
        <f t="shared" si="14"/>
        <v>45700</v>
      </c>
      <c r="H513">
        <f t="shared" si="15"/>
        <v>1</v>
      </c>
    </row>
    <row r="514" spans="1:8" x14ac:dyDescent="0.3">
      <c r="A514" t="s">
        <v>213</v>
      </c>
      <c r="B514">
        <v>15</v>
      </c>
      <c r="C514">
        <v>10</v>
      </c>
      <c r="D514">
        <v>23</v>
      </c>
      <c r="E514" s="1">
        <v>2703</v>
      </c>
      <c r="F514">
        <v>72</v>
      </c>
      <c r="G514" s="2">
        <f t="shared" ref="G514:G577" si="16">DATE(VALUE(RIGHT(A514,4)),MONTH(DATEVALUE(LEFT(A514,FIND(" ",A514)-1)&amp;"1")),VALUE(MID(A514,FIND(" ",A514)+1,FIND(",",A514)-FIND(" ",A514)-1)))</f>
        <v>45701</v>
      </c>
      <c r="H514">
        <f t="shared" si="15"/>
        <v>1</v>
      </c>
    </row>
    <row r="515" spans="1:8" x14ac:dyDescent="0.3">
      <c r="A515" t="s">
        <v>212</v>
      </c>
      <c r="B515">
        <v>8</v>
      </c>
      <c r="C515">
        <v>17</v>
      </c>
      <c r="D515">
        <v>14</v>
      </c>
      <c r="E515" s="1">
        <v>2532</v>
      </c>
      <c r="F515">
        <v>15</v>
      </c>
      <c r="G515" s="2">
        <f t="shared" si="16"/>
        <v>45705</v>
      </c>
      <c r="H515">
        <f t="shared" si="15"/>
        <v>4</v>
      </c>
    </row>
    <row r="516" spans="1:8" x14ac:dyDescent="0.3">
      <c r="A516" t="s">
        <v>211</v>
      </c>
      <c r="B516">
        <v>18</v>
      </c>
      <c r="C516">
        <v>19</v>
      </c>
      <c r="D516">
        <v>11</v>
      </c>
      <c r="E516" s="1">
        <v>2536</v>
      </c>
      <c r="F516">
        <v>9</v>
      </c>
      <c r="G516" s="2">
        <f t="shared" si="16"/>
        <v>45706</v>
      </c>
      <c r="H516">
        <f t="shared" ref="H516:H579" si="17">G516-G515</f>
        <v>1</v>
      </c>
    </row>
    <row r="517" spans="1:8" x14ac:dyDescent="0.3">
      <c r="A517" t="s">
        <v>210</v>
      </c>
      <c r="B517">
        <v>12</v>
      </c>
      <c r="C517">
        <v>17</v>
      </c>
      <c r="D517">
        <v>17</v>
      </c>
      <c r="E517" s="1">
        <v>2528</v>
      </c>
      <c r="F517">
        <v>19</v>
      </c>
      <c r="G517" s="2">
        <f t="shared" si="16"/>
        <v>45707</v>
      </c>
      <c r="H517">
        <f t="shared" si="17"/>
        <v>1</v>
      </c>
    </row>
    <row r="518" spans="1:8" x14ac:dyDescent="0.3">
      <c r="A518" t="s">
        <v>209</v>
      </c>
      <c r="B518">
        <v>13</v>
      </c>
      <c r="C518">
        <v>25</v>
      </c>
      <c r="D518">
        <v>15</v>
      </c>
      <c r="E518" s="1">
        <v>2520</v>
      </c>
      <c r="F518">
        <v>32</v>
      </c>
      <c r="G518" s="2">
        <f t="shared" si="16"/>
        <v>45708</v>
      </c>
      <c r="H518">
        <f t="shared" si="17"/>
        <v>1</v>
      </c>
    </row>
    <row r="519" spans="1:8" x14ac:dyDescent="0.3">
      <c r="A519" t="s">
        <v>208</v>
      </c>
      <c r="B519">
        <v>7</v>
      </c>
      <c r="C519">
        <v>16</v>
      </c>
      <c r="D519">
        <v>8</v>
      </c>
      <c r="E519" s="1">
        <v>2423</v>
      </c>
      <c r="F519">
        <v>35</v>
      </c>
      <c r="G519" s="2">
        <f t="shared" si="16"/>
        <v>45711</v>
      </c>
      <c r="H519">
        <f t="shared" si="17"/>
        <v>3</v>
      </c>
    </row>
    <row r="520" spans="1:8" x14ac:dyDescent="0.3">
      <c r="A520" t="s">
        <v>207</v>
      </c>
      <c r="B520">
        <v>20</v>
      </c>
      <c r="C520">
        <v>22</v>
      </c>
      <c r="D520">
        <v>14</v>
      </c>
      <c r="E520" s="1">
        <v>2413</v>
      </c>
      <c r="F520">
        <v>24</v>
      </c>
      <c r="G520" s="2">
        <f t="shared" si="16"/>
        <v>45712</v>
      </c>
      <c r="H520">
        <f t="shared" si="17"/>
        <v>1</v>
      </c>
    </row>
    <row r="521" spans="1:8" x14ac:dyDescent="0.3">
      <c r="A521" t="s">
        <v>206</v>
      </c>
      <c r="B521">
        <v>11</v>
      </c>
      <c r="C521">
        <v>7</v>
      </c>
      <c r="D521">
        <v>7</v>
      </c>
      <c r="E521" s="1">
        <v>2413</v>
      </c>
      <c r="F521">
        <v>23</v>
      </c>
      <c r="G521" s="2">
        <f t="shared" si="16"/>
        <v>45713</v>
      </c>
      <c r="H521">
        <f t="shared" si="17"/>
        <v>1</v>
      </c>
    </row>
    <row r="522" spans="1:8" x14ac:dyDescent="0.3">
      <c r="A522" t="s">
        <v>205</v>
      </c>
      <c r="B522">
        <v>12</v>
      </c>
      <c r="C522">
        <v>21</v>
      </c>
      <c r="D522">
        <v>1</v>
      </c>
      <c r="E522" s="1">
        <v>2411</v>
      </c>
      <c r="F522">
        <v>23</v>
      </c>
      <c r="G522" s="2">
        <f t="shared" si="16"/>
        <v>45714</v>
      </c>
      <c r="H522">
        <f t="shared" si="17"/>
        <v>1</v>
      </c>
    </row>
    <row r="523" spans="1:8" x14ac:dyDescent="0.3">
      <c r="A523" t="s">
        <v>204</v>
      </c>
      <c r="B523">
        <v>10</v>
      </c>
      <c r="C523">
        <v>15</v>
      </c>
      <c r="D523">
        <v>17</v>
      </c>
      <c r="E523" s="1">
        <v>2391</v>
      </c>
      <c r="F523">
        <v>37</v>
      </c>
      <c r="G523" s="2">
        <f t="shared" si="16"/>
        <v>45715</v>
      </c>
      <c r="H523">
        <f t="shared" si="17"/>
        <v>1</v>
      </c>
    </row>
    <row r="524" spans="1:8" x14ac:dyDescent="0.3">
      <c r="A524" t="s">
        <v>203</v>
      </c>
      <c r="B524">
        <v>12</v>
      </c>
      <c r="C524">
        <v>24</v>
      </c>
      <c r="D524">
        <v>4</v>
      </c>
      <c r="E524" s="1">
        <v>2297</v>
      </c>
      <c r="F524">
        <v>31</v>
      </c>
      <c r="G524" s="2">
        <f t="shared" si="16"/>
        <v>45718</v>
      </c>
      <c r="H524">
        <f t="shared" si="17"/>
        <v>3</v>
      </c>
    </row>
    <row r="525" spans="1:8" x14ac:dyDescent="0.3">
      <c r="A525" t="s">
        <v>202</v>
      </c>
      <c r="B525">
        <v>8</v>
      </c>
      <c r="C525">
        <v>29</v>
      </c>
      <c r="D525">
        <v>18</v>
      </c>
      <c r="E525" s="1">
        <v>2287</v>
      </c>
      <c r="F525">
        <v>25</v>
      </c>
      <c r="G525" s="2">
        <f t="shared" si="16"/>
        <v>45719</v>
      </c>
      <c r="H525">
        <f t="shared" si="17"/>
        <v>1</v>
      </c>
    </row>
    <row r="526" spans="1:8" x14ac:dyDescent="0.3">
      <c r="A526" t="s">
        <v>201</v>
      </c>
      <c r="B526">
        <v>4</v>
      </c>
      <c r="C526">
        <v>25</v>
      </c>
      <c r="D526">
        <v>10</v>
      </c>
      <c r="E526" s="1">
        <v>2272</v>
      </c>
      <c r="F526">
        <v>30</v>
      </c>
      <c r="G526" s="2">
        <f t="shared" si="16"/>
        <v>45720</v>
      </c>
      <c r="H526">
        <f t="shared" si="17"/>
        <v>1</v>
      </c>
    </row>
    <row r="527" spans="1:8" x14ac:dyDescent="0.3">
      <c r="A527" t="s">
        <v>200</v>
      </c>
      <c r="B527">
        <v>5</v>
      </c>
      <c r="C527">
        <v>20</v>
      </c>
      <c r="D527">
        <v>4</v>
      </c>
      <c r="E527" s="1">
        <v>2238</v>
      </c>
      <c r="F527">
        <v>40</v>
      </c>
      <c r="G527" s="2">
        <f t="shared" si="16"/>
        <v>45721</v>
      </c>
      <c r="H527">
        <f t="shared" si="17"/>
        <v>1</v>
      </c>
    </row>
    <row r="528" spans="1:8" x14ac:dyDescent="0.3">
      <c r="A528" t="s">
        <v>199</v>
      </c>
      <c r="B528">
        <v>7</v>
      </c>
      <c r="C528">
        <v>27</v>
      </c>
      <c r="D528">
        <v>6</v>
      </c>
      <c r="E528" s="1">
        <v>2218</v>
      </c>
      <c r="F528">
        <v>33</v>
      </c>
      <c r="G528" s="2">
        <f t="shared" si="16"/>
        <v>45722</v>
      </c>
      <c r="H528">
        <f t="shared" si="17"/>
        <v>1</v>
      </c>
    </row>
    <row r="529" spans="1:8" x14ac:dyDescent="0.3">
      <c r="A529" t="s">
        <v>198</v>
      </c>
      <c r="B529">
        <v>12</v>
      </c>
      <c r="C529">
        <v>25</v>
      </c>
      <c r="D529">
        <v>15</v>
      </c>
      <c r="E529" s="1">
        <v>2137</v>
      </c>
      <c r="F529">
        <v>30</v>
      </c>
      <c r="G529" s="2">
        <f t="shared" si="16"/>
        <v>45725</v>
      </c>
      <c r="H529">
        <f t="shared" si="17"/>
        <v>3</v>
      </c>
    </row>
    <row r="530" spans="1:8" x14ac:dyDescent="0.3">
      <c r="A530" t="s">
        <v>197</v>
      </c>
      <c r="B530">
        <v>6</v>
      </c>
      <c r="C530">
        <v>28</v>
      </c>
      <c r="D530">
        <v>8</v>
      </c>
      <c r="E530" s="1">
        <v>2125</v>
      </c>
      <c r="F530">
        <v>23</v>
      </c>
      <c r="G530" s="2">
        <f t="shared" si="16"/>
        <v>45726</v>
      </c>
      <c r="H530">
        <f t="shared" si="17"/>
        <v>1</v>
      </c>
    </row>
    <row r="531" spans="1:8" x14ac:dyDescent="0.3">
      <c r="A531" t="s">
        <v>196</v>
      </c>
      <c r="B531">
        <v>3</v>
      </c>
      <c r="C531">
        <v>11</v>
      </c>
      <c r="D531">
        <v>7</v>
      </c>
      <c r="E531" s="1">
        <v>2116</v>
      </c>
      <c r="F531">
        <v>20</v>
      </c>
      <c r="G531" s="2">
        <f t="shared" si="16"/>
        <v>45727</v>
      </c>
      <c r="H531">
        <f t="shared" si="17"/>
        <v>1</v>
      </c>
    </row>
    <row r="532" spans="1:8" x14ac:dyDescent="0.3">
      <c r="A532" t="s">
        <v>195</v>
      </c>
      <c r="B532">
        <v>6</v>
      </c>
      <c r="C532">
        <v>18</v>
      </c>
      <c r="D532">
        <v>2</v>
      </c>
      <c r="E532" s="1">
        <v>2113</v>
      </c>
      <c r="F532">
        <v>8</v>
      </c>
      <c r="G532" s="2">
        <f t="shared" si="16"/>
        <v>45728</v>
      </c>
      <c r="H532">
        <f t="shared" si="17"/>
        <v>1</v>
      </c>
    </row>
    <row r="533" spans="1:8" x14ac:dyDescent="0.3">
      <c r="A533" t="s">
        <v>194</v>
      </c>
      <c r="B533">
        <v>4</v>
      </c>
      <c r="C533">
        <v>20</v>
      </c>
      <c r="D533">
        <v>9</v>
      </c>
      <c r="E533" s="1">
        <v>2116</v>
      </c>
      <c r="F533">
        <v>6</v>
      </c>
      <c r="G533" s="2">
        <f t="shared" si="16"/>
        <v>45729</v>
      </c>
      <c r="H533">
        <f t="shared" si="17"/>
        <v>1</v>
      </c>
    </row>
    <row r="534" spans="1:8" x14ac:dyDescent="0.3">
      <c r="A534" t="s">
        <v>193</v>
      </c>
      <c r="B534">
        <v>1</v>
      </c>
      <c r="C534">
        <v>9</v>
      </c>
      <c r="D534">
        <v>8</v>
      </c>
      <c r="E534" s="1">
        <v>2117</v>
      </c>
      <c r="F534">
        <v>5</v>
      </c>
      <c r="G534" s="2">
        <f t="shared" si="16"/>
        <v>45732</v>
      </c>
      <c r="H534">
        <f t="shared" si="17"/>
        <v>3</v>
      </c>
    </row>
    <row r="535" spans="1:8" x14ac:dyDescent="0.3">
      <c r="A535" t="s">
        <v>192</v>
      </c>
      <c r="B535">
        <v>5</v>
      </c>
      <c r="C535">
        <v>14</v>
      </c>
      <c r="D535">
        <v>0</v>
      </c>
      <c r="E535" s="1">
        <v>2111</v>
      </c>
      <c r="F535">
        <v>8</v>
      </c>
      <c r="G535" s="2">
        <f t="shared" si="16"/>
        <v>45733</v>
      </c>
      <c r="H535">
        <f t="shared" si="17"/>
        <v>1</v>
      </c>
    </row>
    <row r="536" spans="1:8" x14ac:dyDescent="0.3">
      <c r="A536" t="s">
        <v>191</v>
      </c>
      <c r="B536">
        <v>19</v>
      </c>
      <c r="C536">
        <v>34</v>
      </c>
      <c r="D536">
        <v>6</v>
      </c>
      <c r="E536" s="1">
        <v>2109</v>
      </c>
      <c r="F536">
        <v>8</v>
      </c>
      <c r="G536" s="2">
        <f t="shared" si="16"/>
        <v>45734</v>
      </c>
      <c r="H536">
        <f t="shared" si="17"/>
        <v>1</v>
      </c>
    </row>
    <row r="537" spans="1:8" x14ac:dyDescent="0.3">
      <c r="A537" t="s">
        <v>190</v>
      </c>
      <c r="B537">
        <v>6</v>
      </c>
      <c r="C537">
        <v>22</v>
      </c>
      <c r="D537">
        <v>14</v>
      </c>
      <c r="E537" s="1">
        <v>2119</v>
      </c>
      <c r="F537">
        <v>9</v>
      </c>
      <c r="G537" s="2">
        <f t="shared" si="16"/>
        <v>45735</v>
      </c>
      <c r="H537">
        <f t="shared" si="17"/>
        <v>1</v>
      </c>
    </row>
    <row r="538" spans="1:8" x14ac:dyDescent="0.3">
      <c r="A538" t="s">
        <v>189</v>
      </c>
      <c r="B538">
        <v>9</v>
      </c>
      <c r="C538">
        <v>20</v>
      </c>
      <c r="D538">
        <v>11</v>
      </c>
      <c r="E538" s="1">
        <v>2124</v>
      </c>
      <c r="F538">
        <v>7</v>
      </c>
      <c r="G538" s="2">
        <f t="shared" si="16"/>
        <v>45736</v>
      </c>
      <c r="H538">
        <f t="shared" si="17"/>
        <v>1</v>
      </c>
    </row>
    <row r="539" spans="1:8" x14ac:dyDescent="0.3">
      <c r="A539" t="s">
        <v>188</v>
      </c>
      <c r="B539">
        <v>15</v>
      </c>
      <c r="C539">
        <v>29</v>
      </c>
      <c r="D539">
        <v>9</v>
      </c>
      <c r="E539" s="1">
        <v>2136</v>
      </c>
      <c r="F539">
        <v>2</v>
      </c>
      <c r="G539" s="2">
        <f t="shared" si="16"/>
        <v>45739</v>
      </c>
      <c r="H539">
        <f t="shared" si="17"/>
        <v>3</v>
      </c>
    </row>
    <row r="540" spans="1:8" x14ac:dyDescent="0.3">
      <c r="A540" t="s">
        <v>187</v>
      </c>
      <c r="B540">
        <v>7</v>
      </c>
      <c r="C540">
        <v>13</v>
      </c>
      <c r="D540">
        <v>11</v>
      </c>
      <c r="E540" s="1">
        <v>2139</v>
      </c>
      <c r="F540">
        <v>7</v>
      </c>
      <c r="G540" s="2">
        <f t="shared" si="16"/>
        <v>45740</v>
      </c>
      <c r="H540">
        <f t="shared" si="17"/>
        <v>1</v>
      </c>
    </row>
    <row r="541" spans="1:8" x14ac:dyDescent="0.3">
      <c r="A541" t="s">
        <v>186</v>
      </c>
      <c r="B541">
        <v>12</v>
      </c>
      <c r="C541">
        <v>19</v>
      </c>
      <c r="D541">
        <v>7</v>
      </c>
      <c r="E541" s="1">
        <v>2145</v>
      </c>
      <c r="F541">
        <v>6</v>
      </c>
      <c r="G541" s="2">
        <f t="shared" si="16"/>
        <v>45741</v>
      </c>
      <c r="H541">
        <f t="shared" si="17"/>
        <v>1</v>
      </c>
    </row>
    <row r="542" spans="1:8" x14ac:dyDescent="0.3">
      <c r="A542" t="s">
        <v>185</v>
      </c>
      <c r="B542">
        <v>9</v>
      </c>
      <c r="C542">
        <v>21</v>
      </c>
      <c r="D542">
        <v>15</v>
      </c>
      <c r="E542" s="1">
        <v>2159</v>
      </c>
      <c r="F542">
        <v>2</v>
      </c>
      <c r="G542" s="2">
        <f t="shared" si="16"/>
        <v>45742</v>
      </c>
      <c r="H542">
        <f t="shared" si="17"/>
        <v>1</v>
      </c>
    </row>
    <row r="543" spans="1:8" x14ac:dyDescent="0.3">
      <c r="A543" t="s">
        <v>184</v>
      </c>
      <c r="B543">
        <v>1</v>
      </c>
      <c r="C543">
        <v>19</v>
      </c>
      <c r="D543">
        <v>13</v>
      </c>
      <c r="E543" s="1">
        <v>2159</v>
      </c>
      <c r="F543">
        <v>2</v>
      </c>
      <c r="G543" s="2">
        <f t="shared" si="16"/>
        <v>45743</v>
      </c>
      <c r="H543">
        <f t="shared" si="17"/>
        <v>1</v>
      </c>
    </row>
    <row r="544" spans="1:8" x14ac:dyDescent="0.3">
      <c r="A544" t="s">
        <v>183</v>
      </c>
      <c r="B544">
        <v>9</v>
      </c>
      <c r="C544">
        <v>20</v>
      </c>
      <c r="D544">
        <v>5</v>
      </c>
      <c r="E544" s="1">
        <v>2188</v>
      </c>
      <c r="F544">
        <v>2</v>
      </c>
      <c r="G544" s="2">
        <f t="shared" si="16"/>
        <v>45746</v>
      </c>
      <c r="H544">
        <f t="shared" si="17"/>
        <v>3</v>
      </c>
    </row>
    <row r="545" spans="1:8" x14ac:dyDescent="0.3">
      <c r="A545" t="s">
        <v>182</v>
      </c>
      <c r="B545">
        <v>9</v>
      </c>
      <c r="C545">
        <v>25</v>
      </c>
      <c r="D545">
        <v>8</v>
      </c>
      <c r="E545" s="1">
        <v>2193</v>
      </c>
      <c r="F545">
        <v>5</v>
      </c>
      <c r="G545" s="2">
        <f t="shared" si="16"/>
        <v>45747</v>
      </c>
      <c r="H545">
        <f t="shared" si="17"/>
        <v>1</v>
      </c>
    </row>
    <row r="546" spans="1:8" x14ac:dyDescent="0.3">
      <c r="A546" t="s">
        <v>181</v>
      </c>
      <c r="B546">
        <v>17</v>
      </c>
      <c r="C546">
        <v>36</v>
      </c>
      <c r="D546">
        <v>7</v>
      </c>
      <c r="E546" s="1">
        <v>2191</v>
      </c>
      <c r="F546">
        <v>12</v>
      </c>
      <c r="G546" s="2">
        <f t="shared" si="16"/>
        <v>45748</v>
      </c>
      <c r="H546">
        <f t="shared" si="17"/>
        <v>1</v>
      </c>
    </row>
    <row r="547" spans="1:8" x14ac:dyDescent="0.3">
      <c r="A547" t="s">
        <v>180</v>
      </c>
      <c r="B547">
        <v>5</v>
      </c>
      <c r="C547">
        <v>31</v>
      </c>
      <c r="D547">
        <v>16</v>
      </c>
      <c r="E547" s="1">
        <v>2208</v>
      </c>
      <c r="F547">
        <v>3</v>
      </c>
      <c r="G547" s="2">
        <f t="shared" si="16"/>
        <v>45749</v>
      </c>
      <c r="H547">
        <f t="shared" si="17"/>
        <v>1</v>
      </c>
    </row>
    <row r="548" spans="1:8" x14ac:dyDescent="0.3">
      <c r="A548" t="s">
        <v>179</v>
      </c>
      <c r="B548">
        <v>12</v>
      </c>
      <c r="C548">
        <v>26</v>
      </c>
      <c r="D548">
        <v>18</v>
      </c>
      <c r="E548" s="1">
        <v>2223</v>
      </c>
      <c r="F548">
        <v>8</v>
      </c>
      <c r="G548" s="2">
        <f t="shared" si="16"/>
        <v>45750</v>
      </c>
      <c r="H548">
        <f t="shared" si="17"/>
        <v>1</v>
      </c>
    </row>
    <row r="549" spans="1:8" x14ac:dyDescent="0.3">
      <c r="A549" t="s">
        <v>178</v>
      </c>
      <c r="B549">
        <v>7</v>
      </c>
      <c r="C549">
        <v>14</v>
      </c>
      <c r="D549">
        <v>7</v>
      </c>
      <c r="E549" s="1">
        <v>2234</v>
      </c>
      <c r="F549">
        <v>11</v>
      </c>
      <c r="G549" s="2">
        <f t="shared" si="16"/>
        <v>45753</v>
      </c>
      <c r="H549">
        <f t="shared" si="17"/>
        <v>3</v>
      </c>
    </row>
    <row r="550" spans="1:8" x14ac:dyDescent="0.3">
      <c r="A550" t="s">
        <v>177</v>
      </c>
      <c r="B550">
        <v>12</v>
      </c>
      <c r="C550">
        <v>22</v>
      </c>
      <c r="D550">
        <v>9</v>
      </c>
      <c r="E550" s="1">
        <v>2237</v>
      </c>
      <c r="F550">
        <v>5</v>
      </c>
      <c r="G550" s="2">
        <f t="shared" si="16"/>
        <v>45754</v>
      </c>
      <c r="H550">
        <f t="shared" si="17"/>
        <v>1</v>
      </c>
    </row>
    <row r="551" spans="1:8" x14ac:dyDescent="0.3">
      <c r="A551" t="s">
        <v>176</v>
      </c>
      <c r="B551">
        <v>12</v>
      </c>
      <c r="C551">
        <v>34</v>
      </c>
      <c r="D551">
        <v>12</v>
      </c>
      <c r="E551" s="1">
        <v>2243</v>
      </c>
      <c r="F551">
        <v>9</v>
      </c>
      <c r="G551" s="2">
        <f t="shared" si="16"/>
        <v>45755</v>
      </c>
      <c r="H551">
        <f t="shared" si="17"/>
        <v>1</v>
      </c>
    </row>
    <row r="552" spans="1:8" x14ac:dyDescent="0.3">
      <c r="A552" t="s">
        <v>175</v>
      </c>
      <c r="B552">
        <v>6</v>
      </c>
      <c r="C552">
        <v>19</v>
      </c>
      <c r="D552">
        <v>10</v>
      </c>
      <c r="E552" s="1">
        <v>2251</v>
      </c>
      <c r="F552">
        <v>5</v>
      </c>
      <c r="G552" s="2">
        <f t="shared" si="16"/>
        <v>45756</v>
      </c>
      <c r="H552">
        <f t="shared" si="17"/>
        <v>1</v>
      </c>
    </row>
    <row r="553" spans="1:8" x14ac:dyDescent="0.3">
      <c r="A553" t="s">
        <v>174</v>
      </c>
      <c r="B553">
        <v>18</v>
      </c>
      <c r="C553">
        <v>25</v>
      </c>
      <c r="D553">
        <v>17</v>
      </c>
      <c r="E553" s="1">
        <v>2265</v>
      </c>
      <c r="F553">
        <v>6</v>
      </c>
      <c r="G553" s="2">
        <f t="shared" si="16"/>
        <v>45757</v>
      </c>
      <c r="H553">
        <f t="shared" si="17"/>
        <v>1</v>
      </c>
    </row>
    <row r="554" spans="1:8" x14ac:dyDescent="0.3">
      <c r="A554" t="s">
        <v>173</v>
      </c>
      <c r="B554">
        <v>8</v>
      </c>
      <c r="C554">
        <v>22</v>
      </c>
      <c r="D554">
        <v>8</v>
      </c>
      <c r="E554" s="1">
        <v>2267</v>
      </c>
      <c r="F554">
        <v>9</v>
      </c>
      <c r="G554" s="2">
        <f t="shared" si="16"/>
        <v>45758</v>
      </c>
      <c r="H554">
        <f t="shared" si="17"/>
        <v>1</v>
      </c>
    </row>
    <row r="555" spans="1:8" x14ac:dyDescent="0.3">
      <c r="A555" t="s">
        <v>172</v>
      </c>
      <c r="B555">
        <v>5</v>
      </c>
      <c r="C555">
        <v>26</v>
      </c>
      <c r="D555">
        <v>10</v>
      </c>
      <c r="E555" s="1">
        <v>2283</v>
      </c>
      <c r="F555">
        <v>3</v>
      </c>
      <c r="G555" s="2">
        <f t="shared" si="16"/>
        <v>45760</v>
      </c>
      <c r="H555">
        <f t="shared" si="17"/>
        <v>2</v>
      </c>
    </row>
    <row r="556" spans="1:8" x14ac:dyDescent="0.3">
      <c r="A556" t="s">
        <v>171</v>
      </c>
      <c r="B556">
        <v>5</v>
      </c>
      <c r="C556">
        <v>26</v>
      </c>
      <c r="D556">
        <v>9</v>
      </c>
      <c r="E556" s="1">
        <v>2282</v>
      </c>
      <c r="F556">
        <v>13</v>
      </c>
      <c r="G556" s="2">
        <f t="shared" si="16"/>
        <v>45761</v>
      </c>
      <c r="H556">
        <f t="shared" si="17"/>
        <v>1</v>
      </c>
    </row>
    <row r="557" spans="1:8" x14ac:dyDescent="0.3">
      <c r="A557" t="s">
        <v>170</v>
      </c>
      <c r="B557">
        <v>4</v>
      </c>
      <c r="C557">
        <v>19</v>
      </c>
      <c r="D557">
        <v>12</v>
      </c>
      <c r="E557" s="1">
        <v>2286</v>
      </c>
      <c r="F557">
        <v>7</v>
      </c>
      <c r="G557" s="2">
        <f t="shared" si="16"/>
        <v>45762</v>
      </c>
      <c r="H557">
        <f t="shared" si="17"/>
        <v>1</v>
      </c>
    </row>
    <row r="558" spans="1:8" x14ac:dyDescent="0.3">
      <c r="A558" t="s">
        <v>169</v>
      </c>
      <c r="B558">
        <v>11</v>
      </c>
      <c r="C558">
        <v>30</v>
      </c>
      <c r="D558">
        <v>5</v>
      </c>
      <c r="E558" s="1">
        <v>2291</v>
      </c>
      <c r="F558">
        <v>8</v>
      </c>
      <c r="G558" s="2">
        <f t="shared" si="16"/>
        <v>45763</v>
      </c>
      <c r="H558">
        <f t="shared" si="17"/>
        <v>1</v>
      </c>
    </row>
    <row r="559" spans="1:8" x14ac:dyDescent="0.3">
      <c r="A559" t="s">
        <v>168</v>
      </c>
      <c r="B559">
        <v>7</v>
      </c>
      <c r="C559">
        <v>26</v>
      </c>
      <c r="D559">
        <v>10</v>
      </c>
      <c r="E559" s="1">
        <v>2288</v>
      </c>
      <c r="F559">
        <v>14</v>
      </c>
      <c r="G559" s="2">
        <f t="shared" si="16"/>
        <v>45764</v>
      </c>
      <c r="H559">
        <f t="shared" si="17"/>
        <v>1</v>
      </c>
    </row>
    <row r="560" spans="1:8" x14ac:dyDescent="0.3">
      <c r="A560" t="s">
        <v>167</v>
      </c>
      <c r="B560">
        <v>4</v>
      </c>
      <c r="C560">
        <v>15</v>
      </c>
      <c r="D560">
        <v>6</v>
      </c>
      <c r="E560" s="1">
        <v>2305</v>
      </c>
      <c r="F560">
        <v>4</v>
      </c>
      <c r="G560" s="2">
        <f t="shared" si="16"/>
        <v>45767</v>
      </c>
      <c r="H560">
        <f t="shared" si="17"/>
        <v>3</v>
      </c>
    </row>
    <row r="561" spans="1:8" x14ac:dyDescent="0.3">
      <c r="A561" t="s">
        <v>166</v>
      </c>
      <c r="B561">
        <v>10</v>
      </c>
      <c r="C561">
        <v>25</v>
      </c>
      <c r="D561">
        <v>5</v>
      </c>
      <c r="E561" s="1">
        <v>2308</v>
      </c>
      <c r="F561">
        <v>6</v>
      </c>
      <c r="G561" s="2">
        <f t="shared" si="16"/>
        <v>45768</v>
      </c>
      <c r="H561">
        <f t="shared" si="17"/>
        <v>1</v>
      </c>
    </row>
    <row r="562" spans="1:8" x14ac:dyDescent="0.3">
      <c r="A562" t="s">
        <v>165</v>
      </c>
      <c r="B562">
        <v>7</v>
      </c>
      <c r="C562">
        <v>19</v>
      </c>
      <c r="D562">
        <v>14</v>
      </c>
      <c r="E562" s="1">
        <v>2305</v>
      </c>
      <c r="F562">
        <v>17</v>
      </c>
      <c r="G562" s="2">
        <f t="shared" si="16"/>
        <v>45769</v>
      </c>
      <c r="H562">
        <f t="shared" si="17"/>
        <v>1</v>
      </c>
    </row>
    <row r="563" spans="1:8" x14ac:dyDescent="0.3">
      <c r="A563" t="s">
        <v>164</v>
      </c>
      <c r="B563">
        <v>3</v>
      </c>
      <c r="C563">
        <v>23</v>
      </c>
      <c r="D563">
        <v>4</v>
      </c>
      <c r="E563" s="1">
        <v>2300</v>
      </c>
      <c r="F563">
        <v>11</v>
      </c>
      <c r="G563" s="2">
        <f t="shared" si="16"/>
        <v>45770</v>
      </c>
      <c r="H563">
        <f t="shared" si="17"/>
        <v>1</v>
      </c>
    </row>
    <row r="564" spans="1:8" x14ac:dyDescent="0.3">
      <c r="A564" t="s">
        <v>163</v>
      </c>
      <c r="B564">
        <v>3</v>
      </c>
      <c r="C564">
        <v>9</v>
      </c>
      <c r="D564">
        <v>7</v>
      </c>
      <c r="E564" s="1">
        <v>2294</v>
      </c>
      <c r="F564">
        <v>13</v>
      </c>
      <c r="G564" s="2">
        <f t="shared" si="16"/>
        <v>45771</v>
      </c>
      <c r="H564">
        <f t="shared" si="17"/>
        <v>1</v>
      </c>
    </row>
    <row r="565" spans="1:8" x14ac:dyDescent="0.3">
      <c r="A565" t="s">
        <v>162</v>
      </c>
      <c r="B565">
        <v>9</v>
      </c>
      <c r="C565">
        <v>40</v>
      </c>
      <c r="D565">
        <v>12</v>
      </c>
      <c r="E565" s="1">
        <v>2301</v>
      </c>
      <c r="F565">
        <v>4</v>
      </c>
      <c r="G565" s="2">
        <f t="shared" si="16"/>
        <v>45774</v>
      </c>
      <c r="H565">
        <f t="shared" si="17"/>
        <v>3</v>
      </c>
    </row>
    <row r="566" spans="1:8" x14ac:dyDescent="0.3">
      <c r="A566" t="s">
        <v>161</v>
      </c>
      <c r="B566">
        <v>6</v>
      </c>
      <c r="C566">
        <v>26</v>
      </c>
      <c r="D566">
        <v>12</v>
      </c>
      <c r="E566" s="1">
        <v>2307</v>
      </c>
      <c r="F566">
        <v>8</v>
      </c>
      <c r="G566" s="2">
        <f t="shared" si="16"/>
        <v>45775</v>
      </c>
      <c r="H566">
        <f t="shared" si="17"/>
        <v>1</v>
      </c>
    </row>
    <row r="567" spans="1:8" x14ac:dyDescent="0.3">
      <c r="A567" t="s">
        <v>160</v>
      </c>
      <c r="B567">
        <v>11</v>
      </c>
      <c r="C567">
        <v>25</v>
      </c>
      <c r="D567">
        <v>11</v>
      </c>
      <c r="E567" s="1">
        <v>2304</v>
      </c>
      <c r="F567">
        <v>15</v>
      </c>
      <c r="G567" s="2">
        <f t="shared" si="16"/>
        <v>45776</v>
      </c>
      <c r="H567">
        <f t="shared" si="17"/>
        <v>1</v>
      </c>
    </row>
    <row r="568" spans="1:8" x14ac:dyDescent="0.3">
      <c r="A568" t="s">
        <v>159</v>
      </c>
      <c r="B568">
        <v>7</v>
      </c>
      <c r="C568">
        <v>34</v>
      </c>
      <c r="D568">
        <v>9</v>
      </c>
      <c r="E568" s="1">
        <v>2309</v>
      </c>
      <c r="F568">
        <v>12</v>
      </c>
      <c r="G568" s="2">
        <f t="shared" si="16"/>
        <v>45777</v>
      </c>
      <c r="H568">
        <f t="shared" si="17"/>
        <v>1</v>
      </c>
    </row>
    <row r="569" spans="1:8" x14ac:dyDescent="0.3">
      <c r="A569" t="s">
        <v>158</v>
      </c>
      <c r="B569">
        <v>13</v>
      </c>
      <c r="C569">
        <v>32</v>
      </c>
      <c r="D569">
        <v>14</v>
      </c>
      <c r="E569" s="1">
        <v>2306</v>
      </c>
      <c r="F569">
        <v>16</v>
      </c>
      <c r="G569" s="2">
        <f t="shared" si="16"/>
        <v>45778</v>
      </c>
      <c r="H569">
        <f t="shared" si="17"/>
        <v>1</v>
      </c>
    </row>
    <row r="570" spans="1:8" x14ac:dyDescent="0.3">
      <c r="A570" t="s">
        <v>157</v>
      </c>
      <c r="B570">
        <v>9</v>
      </c>
      <c r="C570">
        <v>31</v>
      </c>
      <c r="D570">
        <v>10</v>
      </c>
      <c r="E570" s="1">
        <v>2335</v>
      </c>
      <c r="F570">
        <v>5</v>
      </c>
      <c r="G570" s="2">
        <f t="shared" si="16"/>
        <v>45781</v>
      </c>
      <c r="H570">
        <f t="shared" si="17"/>
        <v>3</v>
      </c>
    </row>
    <row r="571" spans="1:8" x14ac:dyDescent="0.3">
      <c r="A571" t="s">
        <v>156</v>
      </c>
      <c r="B571">
        <v>15</v>
      </c>
      <c r="C571">
        <v>44</v>
      </c>
      <c r="D571">
        <v>20</v>
      </c>
      <c r="E571" s="1">
        <v>2331</v>
      </c>
      <c r="F571">
        <v>17</v>
      </c>
      <c r="G571" s="2">
        <f t="shared" si="16"/>
        <v>45782</v>
      </c>
      <c r="H571">
        <f t="shared" si="17"/>
        <v>1</v>
      </c>
    </row>
    <row r="572" spans="1:8" x14ac:dyDescent="0.3">
      <c r="A572" t="s">
        <v>155</v>
      </c>
      <c r="B572">
        <v>10</v>
      </c>
      <c r="C572">
        <v>33</v>
      </c>
      <c r="D572">
        <v>16</v>
      </c>
      <c r="E572" s="1">
        <v>2339</v>
      </c>
      <c r="F572">
        <v>16</v>
      </c>
      <c r="G572" s="2">
        <f t="shared" si="16"/>
        <v>45783</v>
      </c>
      <c r="H572">
        <f t="shared" si="17"/>
        <v>1</v>
      </c>
    </row>
    <row r="573" spans="1:8" x14ac:dyDescent="0.3">
      <c r="A573" t="s">
        <v>154</v>
      </c>
      <c r="B573">
        <v>10</v>
      </c>
      <c r="C573">
        <v>30</v>
      </c>
      <c r="D573">
        <v>15</v>
      </c>
      <c r="E573" s="1">
        <v>2335</v>
      </c>
      <c r="F573">
        <v>10</v>
      </c>
      <c r="G573" s="2">
        <f t="shared" si="16"/>
        <v>45784</v>
      </c>
      <c r="H573">
        <f t="shared" si="17"/>
        <v>1</v>
      </c>
    </row>
    <row r="574" spans="1:8" x14ac:dyDescent="0.3">
      <c r="A574" t="s">
        <v>153</v>
      </c>
      <c r="B574">
        <v>15</v>
      </c>
      <c r="C574">
        <v>24</v>
      </c>
      <c r="D574">
        <v>16</v>
      </c>
      <c r="E574" s="1">
        <v>2361</v>
      </c>
      <c r="F574">
        <v>11</v>
      </c>
      <c r="G574" s="2">
        <f t="shared" si="16"/>
        <v>45785</v>
      </c>
      <c r="H574">
        <f t="shared" si="17"/>
        <v>1</v>
      </c>
    </row>
    <row r="575" spans="1:8" x14ac:dyDescent="0.3">
      <c r="A575" t="s">
        <v>152</v>
      </c>
      <c r="B575">
        <v>15</v>
      </c>
      <c r="C575">
        <v>20</v>
      </c>
      <c r="D575">
        <v>12</v>
      </c>
      <c r="E575" s="1">
        <v>2385</v>
      </c>
      <c r="F575">
        <v>3</v>
      </c>
      <c r="G575" s="2">
        <f t="shared" si="16"/>
        <v>45788</v>
      </c>
      <c r="H575">
        <f t="shared" si="17"/>
        <v>3</v>
      </c>
    </row>
    <row r="576" spans="1:8" x14ac:dyDescent="0.3">
      <c r="A576" t="s">
        <v>151</v>
      </c>
      <c r="B576">
        <v>7</v>
      </c>
      <c r="C576">
        <v>33</v>
      </c>
      <c r="D576">
        <v>14</v>
      </c>
      <c r="E576" s="1">
        <v>2392</v>
      </c>
      <c r="F576">
        <v>7</v>
      </c>
      <c r="G576" s="2">
        <f t="shared" si="16"/>
        <v>45789</v>
      </c>
      <c r="H576">
        <f t="shared" si="17"/>
        <v>1</v>
      </c>
    </row>
    <row r="577" spans="1:8" x14ac:dyDescent="0.3">
      <c r="A577" t="s">
        <v>150</v>
      </c>
      <c r="B577">
        <v>18</v>
      </c>
      <c r="C577">
        <v>29</v>
      </c>
      <c r="D577">
        <v>12</v>
      </c>
      <c r="E577" s="1">
        <v>2394</v>
      </c>
      <c r="F577">
        <v>11</v>
      </c>
      <c r="G577" s="2">
        <f t="shared" si="16"/>
        <v>45790</v>
      </c>
      <c r="H577">
        <f t="shared" si="17"/>
        <v>1</v>
      </c>
    </row>
    <row r="578" spans="1:8" x14ac:dyDescent="0.3">
      <c r="A578" t="s">
        <v>149</v>
      </c>
      <c r="B578">
        <v>7</v>
      </c>
      <c r="C578">
        <v>30</v>
      </c>
      <c r="D578">
        <v>14</v>
      </c>
      <c r="E578" s="1">
        <v>2394</v>
      </c>
      <c r="F578">
        <v>11</v>
      </c>
      <c r="G578" s="2">
        <f t="shared" ref="G578:G641" si="18">DATE(VALUE(RIGHT(A578,4)),MONTH(DATEVALUE(LEFT(A578,FIND(" ",A578)-1)&amp;"1")),VALUE(MID(A578,FIND(" ",A578)+1,FIND(",",A578)-FIND(" ",A578)-1)))</f>
        <v>45791</v>
      </c>
      <c r="H578">
        <f t="shared" si="17"/>
        <v>1</v>
      </c>
    </row>
    <row r="579" spans="1:8" x14ac:dyDescent="0.3">
      <c r="A579" t="s">
        <v>148</v>
      </c>
      <c r="B579">
        <v>15</v>
      </c>
      <c r="C579">
        <v>31</v>
      </c>
      <c r="D579">
        <v>14</v>
      </c>
      <c r="E579" s="1">
        <v>2410</v>
      </c>
      <c r="F579">
        <v>14</v>
      </c>
      <c r="G579" s="2">
        <f t="shared" si="18"/>
        <v>45792</v>
      </c>
      <c r="H579">
        <f t="shared" si="17"/>
        <v>1</v>
      </c>
    </row>
    <row r="580" spans="1:8" x14ac:dyDescent="0.3">
      <c r="A580" t="s">
        <v>147</v>
      </c>
      <c r="B580">
        <v>13</v>
      </c>
      <c r="C580">
        <v>28</v>
      </c>
      <c r="D580">
        <v>14</v>
      </c>
      <c r="E580" s="1">
        <v>2437</v>
      </c>
      <c r="F580">
        <v>9</v>
      </c>
      <c r="G580" s="2">
        <f t="shared" si="18"/>
        <v>45795</v>
      </c>
      <c r="H580">
        <f t="shared" ref="H580:H643" si="19">G580-G579</f>
        <v>3</v>
      </c>
    </row>
    <row r="581" spans="1:8" x14ac:dyDescent="0.3">
      <c r="A581" t="s">
        <v>146</v>
      </c>
      <c r="B581">
        <v>7</v>
      </c>
      <c r="C581">
        <v>27</v>
      </c>
      <c r="D581">
        <v>17</v>
      </c>
      <c r="E581" s="1">
        <v>2457</v>
      </c>
      <c r="F581">
        <v>6</v>
      </c>
      <c r="G581" s="2">
        <f t="shared" si="18"/>
        <v>45796</v>
      </c>
      <c r="H581">
        <f t="shared" si="19"/>
        <v>1</v>
      </c>
    </row>
    <row r="582" spans="1:8" x14ac:dyDescent="0.3">
      <c r="A582" t="s">
        <v>145</v>
      </c>
      <c r="B582">
        <v>14</v>
      </c>
      <c r="C582">
        <v>62</v>
      </c>
      <c r="D582">
        <v>13</v>
      </c>
      <c r="E582" s="1">
        <v>2467</v>
      </c>
      <c r="F582">
        <v>18</v>
      </c>
      <c r="G582" s="2">
        <f t="shared" si="18"/>
        <v>45798</v>
      </c>
      <c r="H582">
        <f t="shared" si="19"/>
        <v>2</v>
      </c>
    </row>
    <row r="583" spans="1:8" x14ac:dyDescent="0.3">
      <c r="A583" t="s">
        <v>144</v>
      </c>
      <c r="B583">
        <v>18</v>
      </c>
      <c r="C583">
        <v>36</v>
      </c>
      <c r="D583">
        <v>17</v>
      </c>
      <c r="E583" s="1">
        <v>2473</v>
      </c>
      <c r="F583">
        <v>15</v>
      </c>
      <c r="G583" s="2">
        <f t="shared" si="18"/>
        <v>45799</v>
      </c>
      <c r="H583">
        <f t="shared" si="19"/>
        <v>1</v>
      </c>
    </row>
    <row r="584" spans="1:8" x14ac:dyDescent="0.3">
      <c r="A584" t="s">
        <v>143</v>
      </c>
      <c r="B584">
        <v>6</v>
      </c>
      <c r="C584">
        <v>24</v>
      </c>
      <c r="D584">
        <v>7</v>
      </c>
      <c r="E584" s="1">
        <v>2504</v>
      </c>
      <c r="F584">
        <v>11</v>
      </c>
      <c r="G584" s="2">
        <f t="shared" si="18"/>
        <v>45804</v>
      </c>
      <c r="H584">
        <f t="shared" si="19"/>
        <v>5</v>
      </c>
    </row>
    <row r="585" spans="1:8" x14ac:dyDescent="0.3">
      <c r="A585" t="s">
        <v>142</v>
      </c>
      <c r="B585">
        <v>12</v>
      </c>
      <c r="C585">
        <v>39</v>
      </c>
      <c r="D585">
        <v>12</v>
      </c>
      <c r="E585" s="1">
        <v>2499</v>
      </c>
      <c r="F585">
        <v>14</v>
      </c>
      <c r="G585" s="2">
        <f t="shared" si="18"/>
        <v>45805</v>
      </c>
      <c r="H585">
        <f t="shared" si="19"/>
        <v>1</v>
      </c>
    </row>
    <row r="586" spans="1:8" x14ac:dyDescent="0.3">
      <c r="A586" t="s">
        <v>141</v>
      </c>
      <c r="B586">
        <v>13</v>
      </c>
      <c r="C586">
        <v>38</v>
      </c>
      <c r="D586">
        <v>15</v>
      </c>
      <c r="E586" s="1">
        <v>2506</v>
      </c>
      <c r="F586">
        <v>11</v>
      </c>
      <c r="G586" s="2">
        <f t="shared" si="18"/>
        <v>45806</v>
      </c>
      <c r="H586">
        <f t="shared" si="19"/>
        <v>1</v>
      </c>
    </row>
    <row r="587" spans="1:8" x14ac:dyDescent="0.3">
      <c r="A587" t="s">
        <v>140</v>
      </c>
      <c r="B587">
        <v>8</v>
      </c>
      <c r="C587">
        <v>24</v>
      </c>
      <c r="D587">
        <v>16</v>
      </c>
      <c r="E587" s="1">
        <v>2528</v>
      </c>
      <c r="F587">
        <v>12</v>
      </c>
      <c r="G587" s="2">
        <f t="shared" si="18"/>
        <v>45809</v>
      </c>
      <c r="H587">
        <f t="shared" si="19"/>
        <v>3</v>
      </c>
    </row>
    <row r="588" spans="1:8" x14ac:dyDescent="0.3">
      <c r="A588" t="s">
        <v>139</v>
      </c>
      <c r="B588">
        <v>10</v>
      </c>
      <c r="C588">
        <v>19</v>
      </c>
      <c r="D588">
        <v>5</v>
      </c>
      <c r="E588" s="1">
        <v>2518</v>
      </c>
      <c r="F588">
        <v>16</v>
      </c>
      <c r="G588" s="2">
        <f t="shared" si="18"/>
        <v>45810</v>
      </c>
      <c r="H588">
        <f t="shared" si="19"/>
        <v>1</v>
      </c>
    </row>
    <row r="589" spans="1:8" x14ac:dyDescent="0.3">
      <c r="A589" t="s">
        <v>138</v>
      </c>
      <c r="B589">
        <v>5</v>
      </c>
      <c r="C589">
        <v>23</v>
      </c>
      <c r="D589">
        <v>11</v>
      </c>
      <c r="E589" s="1">
        <v>2519</v>
      </c>
      <c r="F589">
        <v>15</v>
      </c>
      <c r="G589" s="2">
        <f t="shared" si="18"/>
        <v>45811</v>
      </c>
      <c r="H589">
        <f t="shared" si="19"/>
        <v>1</v>
      </c>
    </row>
    <row r="590" spans="1:8" x14ac:dyDescent="0.3">
      <c r="A590" t="s">
        <v>137</v>
      </c>
      <c r="B590">
        <v>4</v>
      </c>
      <c r="C590">
        <v>16</v>
      </c>
      <c r="D590">
        <v>9</v>
      </c>
      <c r="E590" s="1">
        <v>2516</v>
      </c>
      <c r="F590">
        <v>16</v>
      </c>
      <c r="G590" s="2">
        <f t="shared" si="18"/>
        <v>45812</v>
      </c>
      <c r="H590">
        <f t="shared" si="19"/>
        <v>1</v>
      </c>
    </row>
    <row r="591" spans="1:8" x14ac:dyDescent="0.3">
      <c r="A591" t="s">
        <v>136</v>
      </c>
      <c r="B591">
        <v>8</v>
      </c>
      <c r="C591">
        <v>26</v>
      </c>
      <c r="D591">
        <v>5</v>
      </c>
      <c r="E591" s="1">
        <v>2503</v>
      </c>
      <c r="F591">
        <v>21</v>
      </c>
      <c r="G591" s="2">
        <f t="shared" si="18"/>
        <v>45813</v>
      </c>
      <c r="H591">
        <f t="shared" si="19"/>
        <v>1</v>
      </c>
    </row>
    <row r="592" spans="1:8" x14ac:dyDescent="0.3">
      <c r="A592" t="s">
        <v>135</v>
      </c>
      <c r="B592">
        <v>10</v>
      </c>
      <c r="C592">
        <v>16</v>
      </c>
      <c r="D592">
        <v>15</v>
      </c>
      <c r="E592" s="1">
        <v>2507</v>
      </c>
      <c r="F592">
        <v>13</v>
      </c>
      <c r="G592" s="2">
        <f t="shared" si="18"/>
        <v>45816</v>
      </c>
      <c r="H592">
        <f t="shared" si="19"/>
        <v>3</v>
      </c>
    </row>
    <row r="593" spans="1:8" x14ac:dyDescent="0.3">
      <c r="A593" t="s">
        <v>134</v>
      </c>
      <c r="B593">
        <v>8</v>
      </c>
      <c r="C593">
        <v>21</v>
      </c>
      <c r="D593">
        <v>14</v>
      </c>
      <c r="E593" s="1">
        <v>2516</v>
      </c>
      <c r="F593">
        <v>9</v>
      </c>
      <c r="G593" s="2">
        <f t="shared" si="18"/>
        <v>45817</v>
      </c>
      <c r="H593">
        <f t="shared" si="19"/>
        <v>1</v>
      </c>
    </row>
    <row r="594" spans="1:8" x14ac:dyDescent="0.3">
      <c r="A594" t="s">
        <v>133</v>
      </c>
      <c r="B594">
        <v>17</v>
      </c>
      <c r="C594">
        <v>28</v>
      </c>
      <c r="D594">
        <v>7</v>
      </c>
      <c r="E594" s="1">
        <v>2511</v>
      </c>
      <c r="F594">
        <v>12</v>
      </c>
      <c r="G594" s="2">
        <f t="shared" si="18"/>
        <v>45818</v>
      </c>
      <c r="H594">
        <f t="shared" si="19"/>
        <v>1</v>
      </c>
    </row>
    <row r="595" spans="1:8" x14ac:dyDescent="0.3">
      <c r="A595" t="s">
        <v>132</v>
      </c>
      <c r="B595">
        <v>7</v>
      </c>
      <c r="C595">
        <v>24</v>
      </c>
      <c r="D595">
        <v>10</v>
      </c>
      <c r="E595" s="1">
        <v>2523</v>
      </c>
      <c r="F595">
        <v>14</v>
      </c>
      <c r="G595" s="2">
        <f t="shared" si="18"/>
        <v>45825</v>
      </c>
      <c r="H595">
        <f t="shared" si="19"/>
        <v>7</v>
      </c>
    </row>
    <row r="596" spans="1:8" x14ac:dyDescent="0.3">
      <c r="A596" t="s">
        <v>131</v>
      </c>
      <c r="B596">
        <v>8</v>
      </c>
      <c r="C596">
        <v>19</v>
      </c>
      <c r="D596">
        <v>7</v>
      </c>
      <c r="E596" s="1">
        <v>2501</v>
      </c>
      <c r="F596">
        <v>18</v>
      </c>
      <c r="G596" s="2">
        <f t="shared" si="18"/>
        <v>45827</v>
      </c>
      <c r="H596">
        <f t="shared" si="19"/>
        <v>2</v>
      </c>
    </row>
    <row r="597" spans="1:8" x14ac:dyDescent="0.3">
      <c r="A597" t="s">
        <v>130</v>
      </c>
      <c r="B597">
        <v>7</v>
      </c>
      <c r="C597">
        <v>13</v>
      </c>
      <c r="D597">
        <v>5</v>
      </c>
      <c r="E597" s="1">
        <v>2508</v>
      </c>
      <c r="F597">
        <v>7</v>
      </c>
      <c r="G597" s="2">
        <f t="shared" si="18"/>
        <v>45830</v>
      </c>
      <c r="H597">
        <f t="shared" si="19"/>
        <v>3</v>
      </c>
    </row>
    <row r="598" spans="1:8" x14ac:dyDescent="0.3">
      <c r="A598" t="s">
        <v>129</v>
      </c>
      <c r="B598">
        <v>3</v>
      </c>
      <c r="C598">
        <v>15</v>
      </c>
      <c r="D598">
        <v>5</v>
      </c>
      <c r="E598" s="1">
        <v>2495</v>
      </c>
      <c r="F598">
        <v>17</v>
      </c>
      <c r="G598" s="2">
        <f t="shared" si="18"/>
        <v>45831</v>
      </c>
      <c r="H598">
        <f t="shared" si="19"/>
        <v>1</v>
      </c>
    </row>
    <row r="599" spans="1:8" x14ac:dyDescent="0.3">
      <c r="A599" t="s">
        <v>128</v>
      </c>
      <c r="B599">
        <v>5</v>
      </c>
      <c r="C599">
        <v>20</v>
      </c>
      <c r="D599">
        <v>5</v>
      </c>
      <c r="E599" s="1">
        <v>2489</v>
      </c>
      <c r="F599">
        <v>16</v>
      </c>
      <c r="G599" s="2">
        <f t="shared" si="18"/>
        <v>45832</v>
      </c>
      <c r="H599">
        <f t="shared" si="19"/>
        <v>1</v>
      </c>
    </row>
    <row r="600" spans="1:8" x14ac:dyDescent="0.3">
      <c r="A600" t="s">
        <v>127</v>
      </c>
      <c r="B600">
        <v>6</v>
      </c>
      <c r="C600">
        <v>12</v>
      </c>
      <c r="D600">
        <v>2</v>
      </c>
      <c r="E600" s="1">
        <v>2470</v>
      </c>
      <c r="F600">
        <v>24</v>
      </c>
      <c r="G600" s="2">
        <f t="shared" si="18"/>
        <v>45833</v>
      </c>
      <c r="H600">
        <f t="shared" si="19"/>
        <v>1</v>
      </c>
    </row>
    <row r="601" spans="1:8" x14ac:dyDescent="0.3">
      <c r="A601" t="s">
        <v>126</v>
      </c>
      <c r="B601">
        <v>3</v>
      </c>
      <c r="C601">
        <v>9</v>
      </c>
      <c r="D601">
        <v>7</v>
      </c>
      <c r="E601" s="1">
        <v>2447</v>
      </c>
      <c r="F601">
        <v>35</v>
      </c>
      <c r="G601" s="2">
        <f t="shared" si="18"/>
        <v>45834</v>
      </c>
      <c r="H601">
        <f t="shared" si="19"/>
        <v>1</v>
      </c>
    </row>
    <row r="602" spans="1:8" x14ac:dyDescent="0.3">
      <c r="A602" t="s">
        <v>125</v>
      </c>
      <c r="B602">
        <v>5</v>
      </c>
      <c r="C602">
        <v>17</v>
      </c>
      <c r="D602">
        <v>7</v>
      </c>
      <c r="E602" s="1">
        <v>2413</v>
      </c>
      <c r="F602">
        <v>20</v>
      </c>
      <c r="G602" s="2">
        <f t="shared" si="18"/>
        <v>45837</v>
      </c>
      <c r="H602">
        <f t="shared" si="19"/>
        <v>3</v>
      </c>
    </row>
    <row r="603" spans="1:8" x14ac:dyDescent="0.3">
      <c r="A603" t="s">
        <v>124</v>
      </c>
      <c r="B603">
        <v>9</v>
      </c>
      <c r="C603">
        <v>22</v>
      </c>
      <c r="D603">
        <v>8</v>
      </c>
      <c r="E603" s="1">
        <v>2407</v>
      </c>
      <c r="F603">
        <v>16</v>
      </c>
      <c r="G603" s="2">
        <f t="shared" si="18"/>
        <v>45838</v>
      </c>
      <c r="H603">
        <f t="shared" si="19"/>
        <v>1</v>
      </c>
    </row>
    <row r="604" spans="1:8" x14ac:dyDescent="0.3">
      <c r="A604" t="s">
        <v>123</v>
      </c>
      <c r="B604">
        <v>7</v>
      </c>
      <c r="C604">
        <v>14</v>
      </c>
      <c r="D604">
        <v>6</v>
      </c>
      <c r="E604" s="1">
        <v>2391</v>
      </c>
      <c r="F604">
        <v>22</v>
      </c>
      <c r="G604" s="2">
        <f t="shared" si="18"/>
        <v>45839</v>
      </c>
      <c r="H604">
        <f t="shared" si="19"/>
        <v>1</v>
      </c>
    </row>
    <row r="605" spans="1:8" x14ac:dyDescent="0.3">
      <c r="A605" t="s">
        <v>122</v>
      </c>
      <c r="B605">
        <v>8</v>
      </c>
      <c r="C605">
        <v>20</v>
      </c>
      <c r="D605">
        <v>9</v>
      </c>
      <c r="E605" s="1">
        <v>2373</v>
      </c>
      <c r="F605">
        <v>38</v>
      </c>
      <c r="G605" s="2">
        <f t="shared" si="18"/>
        <v>45840</v>
      </c>
      <c r="H605">
        <f t="shared" si="19"/>
        <v>1</v>
      </c>
    </row>
    <row r="606" spans="1:8" x14ac:dyDescent="0.3">
      <c r="A606" t="s">
        <v>121</v>
      </c>
      <c r="B606">
        <v>4</v>
      </c>
      <c r="C606">
        <v>17</v>
      </c>
      <c r="D606">
        <v>2</v>
      </c>
      <c r="E606" s="1">
        <v>2332</v>
      </c>
      <c r="F606">
        <v>8</v>
      </c>
      <c r="G606" s="2">
        <f t="shared" si="18"/>
        <v>45844</v>
      </c>
      <c r="H606">
        <f t="shared" si="19"/>
        <v>4</v>
      </c>
    </row>
    <row r="607" spans="1:8" x14ac:dyDescent="0.3">
      <c r="A607" t="s">
        <v>120</v>
      </c>
      <c r="B607">
        <v>3</v>
      </c>
      <c r="C607">
        <v>18</v>
      </c>
      <c r="D607">
        <v>8</v>
      </c>
      <c r="E607" s="1">
        <v>2317</v>
      </c>
      <c r="F607">
        <v>20</v>
      </c>
      <c r="G607" s="2">
        <f t="shared" si="18"/>
        <v>45845</v>
      </c>
      <c r="H607">
        <f t="shared" si="19"/>
        <v>1</v>
      </c>
    </row>
    <row r="608" spans="1:8" x14ac:dyDescent="0.3">
      <c r="A608" t="s">
        <v>119</v>
      </c>
      <c r="B608">
        <v>5</v>
      </c>
      <c r="C608">
        <v>16</v>
      </c>
      <c r="D608">
        <v>8</v>
      </c>
      <c r="E608" s="1">
        <v>2306</v>
      </c>
      <c r="F608">
        <v>20</v>
      </c>
      <c r="G608" s="2">
        <f t="shared" si="18"/>
        <v>45846</v>
      </c>
      <c r="H608">
        <f t="shared" si="19"/>
        <v>1</v>
      </c>
    </row>
    <row r="609" spans="1:8" x14ac:dyDescent="0.3">
      <c r="A609" t="s">
        <v>118</v>
      </c>
      <c r="B609">
        <v>2</v>
      </c>
      <c r="C609">
        <v>18</v>
      </c>
      <c r="D609">
        <v>0</v>
      </c>
      <c r="E609" s="1">
        <v>2281</v>
      </c>
      <c r="F609">
        <v>32</v>
      </c>
      <c r="G609" s="2">
        <f t="shared" si="18"/>
        <v>45847</v>
      </c>
      <c r="H609">
        <f t="shared" si="19"/>
        <v>1</v>
      </c>
    </row>
    <row r="610" spans="1:8" x14ac:dyDescent="0.3">
      <c r="A610" t="s">
        <v>117</v>
      </c>
      <c r="B610">
        <v>2</v>
      </c>
      <c r="C610">
        <v>12</v>
      </c>
      <c r="D610">
        <v>3</v>
      </c>
      <c r="E610" s="1">
        <v>2252</v>
      </c>
      <c r="F610">
        <v>39</v>
      </c>
      <c r="G610" s="2">
        <f t="shared" si="18"/>
        <v>45848</v>
      </c>
      <c r="H610">
        <f t="shared" si="19"/>
        <v>1</v>
      </c>
    </row>
    <row r="611" spans="1:8" x14ac:dyDescent="0.3">
      <c r="A611" t="s">
        <v>116</v>
      </c>
      <c r="B611">
        <v>1</v>
      </c>
      <c r="C611">
        <v>13</v>
      </c>
      <c r="D611">
        <v>4</v>
      </c>
      <c r="E611" s="1">
        <v>2204</v>
      </c>
      <c r="F611">
        <v>10</v>
      </c>
      <c r="G611" s="2">
        <f t="shared" si="18"/>
        <v>45851</v>
      </c>
      <c r="H611">
        <f t="shared" si="19"/>
        <v>3</v>
      </c>
    </row>
    <row r="612" spans="1:8" x14ac:dyDescent="0.3">
      <c r="A612" t="s">
        <v>115</v>
      </c>
      <c r="B612">
        <v>2</v>
      </c>
      <c r="C612">
        <v>9</v>
      </c>
      <c r="D612">
        <v>1</v>
      </c>
      <c r="E612" s="1">
        <v>2181</v>
      </c>
      <c r="F612">
        <v>26</v>
      </c>
      <c r="G612" s="2">
        <f t="shared" si="18"/>
        <v>45852</v>
      </c>
      <c r="H612">
        <f t="shared" si="19"/>
        <v>1</v>
      </c>
    </row>
    <row r="613" spans="1:8" x14ac:dyDescent="0.3">
      <c r="A613" t="s">
        <v>114</v>
      </c>
      <c r="B613">
        <v>0</v>
      </c>
      <c r="C613">
        <v>8</v>
      </c>
      <c r="D613">
        <v>5</v>
      </c>
      <c r="E613" s="1">
        <v>2171</v>
      </c>
      <c r="F613">
        <v>17</v>
      </c>
      <c r="G613" s="2">
        <f t="shared" si="18"/>
        <v>45853</v>
      </c>
      <c r="H613">
        <f t="shared" si="19"/>
        <v>1</v>
      </c>
    </row>
    <row r="614" spans="1:8" x14ac:dyDescent="0.3">
      <c r="A614" t="s">
        <v>113</v>
      </c>
      <c r="B614">
        <v>1</v>
      </c>
      <c r="C614">
        <v>9</v>
      </c>
      <c r="D614">
        <v>0</v>
      </c>
      <c r="E614" s="1">
        <v>2164</v>
      </c>
      <c r="F614">
        <v>11</v>
      </c>
      <c r="G614" s="2">
        <f t="shared" si="18"/>
        <v>45854</v>
      </c>
      <c r="H614">
        <f t="shared" si="19"/>
        <v>1</v>
      </c>
    </row>
    <row r="615" spans="1:8" x14ac:dyDescent="0.3">
      <c r="A615" t="s">
        <v>112</v>
      </c>
      <c r="B615">
        <v>3</v>
      </c>
      <c r="C615">
        <v>16</v>
      </c>
      <c r="D615">
        <v>2</v>
      </c>
      <c r="E615" s="1">
        <v>2153</v>
      </c>
      <c r="F615">
        <v>17</v>
      </c>
      <c r="G615" s="2">
        <f t="shared" si="18"/>
        <v>45855</v>
      </c>
      <c r="H615">
        <f t="shared" si="19"/>
        <v>1</v>
      </c>
    </row>
    <row r="616" spans="1:8" x14ac:dyDescent="0.3">
      <c r="A616" t="s">
        <v>111</v>
      </c>
      <c r="B616">
        <v>4</v>
      </c>
      <c r="C616">
        <v>18</v>
      </c>
      <c r="D616">
        <v>7</v>
      </c>
      <c r="E616" s="1">
        <v>2121</v>
      </c>
      <c r="F616">
        <v>16</v>
      </c>
      <c r="G616" s="2">
        <f t="shared" si="18"/>
        <v>45859</v>
      </c>
      <c r="H616">
        <f t="shared" si="19"/>
        <v>4</v>
      </c>
    </row>
    <row r="617" spans="1:8" x14ac:dyDescent="0.3">
      <c r="A617" t="s">
        <v>110</v>
      </c>
      <c r="B617">
        <v>5</v>
      </c>
      <c r="C617">
        <v>13</v>
      </c>
      <c r="D617">
        <v>3</v>
      </c>
      <c r="E617" s="1">
        <v>2117</v>
      </c>
      <c r="F617">
        <v>16</v>
      </c>
      <c r="G617" s="2">
        <f t="shared" si="18"/>
        <v>45860</v>
      </c>
      <c r="H617">
        <f t="shared" si="19"/>
        <v>1</v>
      </c>
    </row>
    <row r="618" spans="1:8" x14ac:dyDescent="0.3">
      <c r="A618" t="s">
        <v>109</v>
      </c>
      <c r="B618">
        <v>6</v>
      </c>
      <c r="C618">
        <v>21</v>
      </c>
      <c r="D618">
        <v>5</v>
      </c>
      <c r="E618" s="1">
        <v>2111</v>
      </c>
      <c r="F618">
        <v>14</v>
      </c>
      <c r="G618" s="2">
        <f t="shared" si="18"/>
        <v>45861</v>
      </c>
      <c r="H618">
        <f t="shared" si="19"/>
        <v>1</v>
      </c>
    </row>
    <row r="619" spans="1:8" x14ac:dyDescent="0.3">
      <c r="A619" t="s">
        <v>108</v>
      </c>
      <c r="B619">
        <v>6</v>
      </c>
      <c r="C619">
        <v>18</v>
      </c>
      <c r="D619">
        <v>7</v>
      </c>
      <c r="E619" s="1">
        <v>2096</v>
      </c>
      <c r="F619">
        <v>29</v>
      </c>
      <c r="G619" s="2">
        <f t="shared" si="18"/>
        <v>45862</v>
      </c>
      <c r="H619">
        <f t="shared" si="19"/>
        <v>1</v>
      </c>
    </row>
    <row r="620" spans="1:8" x14ac:dyDescent="0.3">
      <c r="A620" t="s">
        <v>107</v>
      </c>
      <c r="B620">
        <v>1</v>
      </c>
      <c r="C620">
        <v>12</v>
      </c>
      <c r="D620">
        <v>2</v>
      </c>
      <c r="E620" s="1">
        <v>2088</v>
      </c>
      <c r="F620">
        <v>4</v>
      </c>
      <c r="G620" s="2">
        <f t="shared" si="18"/>
        <v>45865</v>
      </c>
      <c r="H620">
        <f t="shared" si="19"/>
        <v>3</v>
      </c>
    </row>
    <row r="621" spans="1:8" x14ac:dyDescent="0.3">
      <c r="A621" t="s">
        <v>106</v>
      </c>
      <c r="B621">
        <v>2</v>
      </c>
      <c r="C621">
        <v>9</v>
      </c>
      <c r="D621">
        <v>3</v>
      </c>
      <c r="E621" s="1">
        <v>2080</v>
      </c>
      <c r="F621">
        <v>14</v>
      </c>
      <c r="G621" s="2">
        <f t="shared" si="18"/>
        <v>45866</v>
      </c>
      <c r="H621">
        <f t="shared" si="19"/>
        <v>1</v>
      </c>
    </row>
    <row r="622" spans="1:8" x14ac:dyDescent="0.3">
      <c r="A622" t="s">
        <v>105</v>
      </c>
      <c r="B622">
        <v>2</v>
      </c>
      <c r="C622">
        <v>8</v>
      </c>
      <c r="D622">
        <v>3</v>
      </c>
      <c r="E622" s="1">
        <v>2072</v>
      </c>
      <c r="F622">
        <v>12</v>
      </c>
      <c r="G622" s="2">
        <f t="shared" si="18"/>
        <v>45867</v>
      </c>
      <c r="H622">
        <f t="shared" si="19"/>
        <v>1</v>
      </c>
    </row>
    <row r="623" spans="1:8" x14ac:dyDescent="0.3">
      <c r="A623" t="s">
        <v>104</v>
      </c>
      <c r="B623">
        <v>4</v>
      </c>
      <c r="C623">
        <v>15</v>
      </c>
      <c r="D623">
        <v>4</v>
      </c>
      <c r="E623" s="1">
        <v>2063</v>
      </c>
      <c r="F623">
        <v>16</v>
      </c>
      <c r="G623" s="2">
        <f t="shared" si="18"/>
        <v>45868</v>
      </c>
      <c r="H623">
        <f t="shared" si="19"/>
        <v>1</v>
      </c>
    </row>
    <row r="624" spans="1:8" x14ac:dyDescent="0.3">
      <c r="A624" t="s">
        <v>103</v>
      </c>
      <c r="B624">
        <v>2</v>
      </c>
      <c r="C624">
        <v>9</v>
      </c>
      <c r="D624">
        <v>6</v>
      </c>
      <c r="E624" s="1">
        <v>2058</v>
      </c>
      <c r="F624">
        <v>15</v>
      </c>
      <c r="G624" s="2">
        <f t="shared" si="18"/>
        <v>45869</v>
      </c>
      <c r="H624">
        <f t="shared" si="19"/>
        <v>1</v>
      </c>
    </row>
    <row r="625" spans="1:8" x14ac:dyDescent="0.3">
      <c r="A625" t="s">
        <v>102</v>
      </c>
      <c r="B625">
        <v>5</v>
      </c>
      <c r="C625">
        <v>26</v>
      </c>
      <c r="D625">
        <v>3</v>
      </c>
      <c r="E625" s="1">
        <v>2049</v>
      </c>
      <c r="F625">
        <v>5</v>
      </c>
      <c r="G625" s="2">
        <f t="shared" si="18"/>
        <v>45872</v>
      </c>
      <c r="H625">
        <f t="shared" si="19"/>
        <v>3</v>
      </c>
    </row>
    <row r="626" spans="1:8" x14ac:dyDescent="0.3">
      <c r="A626" t="s">
        <v>101</v>
      </c>
      <c r="B626">
        <v>5</v>
      </c>
      <c r="C626">
        <v>22</v>
      </c>
      <c r="D626">
        <v>11</v>
      </c>
      <c r="E626" s="1">
        <v>2040</v>
      </c>
      <c r="F626">
        <v>14</v>
      </c>
      <c r="G626" s="2">
        <f t="shared" si="18"/>
        <v>45873</v>
      </c>
      <c r="H626">
        <f t="shared" si="19"/>
        <v>1</v>
      </c>
    </row>
    <row r="627" spans="1:8" x14ac:dyDescent="0.3">
      <c r="A627" t="s">
        <v>100</v>
      </c>
      <c r="B627">
        <v>2</v>
      </c>
      <c r="C627">
        <v>21</v>
      </c>
      <c r="D627">
        <v>10</v>
      </c>
      <c r="E627" s="1">
        <v>2042</v>
      </c>
      <c r="F627">
        <v>14</v>
      </c>
      <c r="G627" s="2">
        <f t="shared" si="18"/>
        <v>45874</v>
      </c>
      <c r="H627">
        <f t="shared" si="19"/>
        <v>1</v>
      </c>
    </row>
    <row r="628" spans="1:8" x14ac:dyDescent="0.3">
      <c r="A628" t="s">
        <v>99</v>
      </c>
      <c r="B628">
        <v>4</v>
      </c>
      <c r="C628">
        <v>17</v>
      </c>
      <c r="D628">
        <v>3</v>
      </c>
      <c r="E628" s="1">
        <v>2036</v>
      </c>
      <c r="F628">
        <v>13</v>
      </c>
      <c r="G628" s="2">
        <f t="shared" si="18"/>
        <v>45875</v>
      </c>
      <c r="H628">
        <f t="shared" si="19"/>
        <v>1</v>
      </c>
    </row>
    <row r="629" spans="1:8" x14ac:dyDescent="0.3">
      <c r="A629" t="s">
        <v>98</v>
      </c>
      <c r="B629">
        <v>4</v>
      </c>
      <c r="C629">
        <v>18</v>
      </c>
      <c r="D629">
        <v>6</v>
      </c>
      <c r="E629" s="1">
        <v>2031</v>
      </c>
      <c r="F629">
        <v>17</v>
      </c>
      <c r="G629" s="2">
        <f t="shared" si="18"/>
        <v>45876</v>
      </c>
      <c r="H629">
        <f t="shared" si="19"/>
        <v>1</v>
      </c>
    </row>
    <row r="630" spans="1:8" x14ac:dyDescent="0.3">
      <c r="A630" t="s">
        <v>97</v>
      </c>
      <c r="B630">
        <v>0</v>
      </c>
      <c r="C630">
        <v>18</v>
      </c>
      <c r="D630">
        <v>8</v>
      </c>
      <c r="E630" s="1">
        <v>2006</v>
      </c>
      <c r="F630">
        <v>12</v>
      </c>
      <c r="G630" s="2">
        <f t="shared" si="18"/>
        <v>45879</v>
      </c>
      <c r="H630">
        <f t="shared" si="19"/>
        <v>3</v>
      </c>
    </row>
    <row r="631" spans="1:8" x14ac:dyDescent="0.3">
      <c r="A631" t="s">
        <v>96</v>
      </c>
      <c r="B631">
        <v>6</v>
      </c>
      <c r="C631">
        <v>23</v>
      </c>
      <c r="D631">
        <v>4</v>
      </c>
      <c r="E631" s="1">
        <v>1999</v>
      </c>
      <c r="F631">
        <v>16</v>
      </c>
      <c r="G631" s="2">
        <f t="shared" si="18"/>
        <v>45880</v>
      </c>
      <c r="H631">
        <f t="shared" si="19"/>
        <v>1</v>
      </c>
    </row>
    <row r="632" spans="1:8" x14ac:dyDescent="0.3">
      <c r="A632" t="s">
        <v>95</v>
      </c>
      <c r="B632">
        <v>8</v>
      </c>
      <c r="C632">
        <v>38</v>
      </c>
      <c r="D632">
        <v>9</v>
      </c>
      <c r="E632" s="1">
        <v>1999</v>
      </c>
      <c r="F632">
        <v>9</v>
      </c>
      <c r="G632" s="2">
        <f t="shared" si="18"/>
        <v>45881</v>
      </c>
      <c r="H632">
        <f t="shared" si="19"/>
        <v>1</v>
      </c>
    </row>
    <row r="633" spans="1:8" x14ac:dyDescent="0.3">
      <c r="A633" t="s">
        <v>94</v>
      </c>
      <c r="B633">
        <v>6</v>
      </c>
      <c r="C633">
        <v>22</v>
      </c>
      <c r="D633">
        <v>12</v>
      </c>
      <c r="E633" s="1">
        <v>1997</v>
      </c>
      <c r="F633">
        <v>17</v>
      </c>
      <c r="G633" s="2">
        <f t="shared" si="18"/>
        <v>45882</v>
      </c>
      <c r="H633">
        <f t="shared" si="19"/>
        <v>1</v>
      </c>
    </row>
    <row r="634" spans="1:8" x14ac:dyDescent="0.3">
      <c r="A634" t="s">
        <v>93</v>
      </c>
      <c r="B634">
        <v>3</v>
      </c>
      <c r="C634">
        <v>27</v>
      </c>
      <c r="D634">
        <v>4</v>
      </c>
      <c r="E634" s="1">
        <v>1994</v>
      </c>
      <c r="F634">
        <v>11</v>
      </c>
      <c r="G634" s="2">
        <f t="shared" si="18"/>
        <v>45883</v>
      </c>
      <c r="H634">
        <f t="shared" si="19"/>
        <v>1</v>
      </c>
    </row>
    <row r="635" spans="1:8" x14ac:dyDescent="0.3">
      <c r="A635" t="s">
        <v>92</v>
      </c>
      <c r="B635">
        <v>4</v>
      </c>
      <c r="C635">
        <v>14</v>
      </c>
      <c r="D635">
        <v>2</v>
      </c>
      <c r="E635" s="1">
        <v>1991</v>
      </c>
      <c r="F635">
        <v>3</v>
      </c>
      <c r="G635" s="2">
        <f t="shared" si="18"/>
        <v>45886</v>
      </c>
      <c r="H635">
        <f t="shared" si="19"/>
        <v>3</v>
      </c>
    </row>
    <row r="636" spans="1:8" x14ac:dyDescent="0.3">
      <c r="A636" t="s">
        <v>91</v>
      </c>
      <c r="B636">
        <v>4</v>
      </c>
      <c r="C636">
        <v>20</v>
      </c>
      <c r="D636">
        <v>6</v>
      </c>
      <c r="E636" s="1">
        <v>1985</v>
      </c>
      <c r="F636">
        <v>14</v>
      </c>
      <c r="G636" s="2">
        <f t="shared" si="18"/>
        <v>45887</v>
      </c>
      <c r="H636">
        <f t="shared" si="19"/>
        <v>1</v>
      </c>
    </row>
    <row r="637" spans="1:8" x14ac:dyDescent="0.3">
      <c r="A637" t="s">
        <v>90</v>
      </c>
      <c r="B637">
        <v>5</v>
      </c>
      <c r="C637">
        <v>35</v>
      </c>
      <c r="D637">
        <v>3</v>
      </c>
      <c r="E637" s="1">
        <v>1980</v>
      </c>
      <c r="F637">
        <v>11</v>
      </c>
      <c r="G637" s="2">
        <f t="shared" si="18"/>
        <v>45888</v>
      </c>
      <c r="H637">
        <f t="shared" si="19"/>
        <v>1</v>
      </c>
    </row>
    <row r="638" spans="1:8" x14ac:dyDescent="0.3">
      <c r="A638" t="s">
        <v>89</v>
      </c>
      <c r="B638">
        <v>10</v>
      </c>
      <c r="C638">
        <v>38</v>
      </c>
      <c r="D638">
        <v>10</v>
      </c>
      <c r="E638" s="1">
        <v>1983</v>
      </c>
      <c r="F638">
        <v>10</v>
      </c>
      <c r="G638" s="2">
        <f t="shared" si="18"/>
        <v>45889</v>
      </c>
      <c r="H638">
        <f t="shared" si="19"/>
        <v>1</v>
      </c>
    </row>
    <row r="639" spans="1:8" x14ac:dyDescent="0.3">
      <c r="A639" t="s">
        <v>88</v>
      </c>
      <c r="B639">
        <v>6</v>
      </c>
      <c r="C639">
        <v>49</v>
      </c>
      <c r="D639">
        <v>8</v>
      </c>
      <c r="E639" s="1">
        <v>1972</v>
      </c>
      <c r="F639">
        <v>21</v>
      </c>
      <c r="G639" s="2">
        <f t="shared" si="18"/>
        <v>45890</v>
      </c>
      <c r="H639">
        <f t="shared" si="19"/>
        <v>1</v>
      </c>
    </row>
    <row r="640" spans="1:8" x14ac:dyDescent="0.3">
      <c r="A640" t="s">
        <v>87</v>
      </c>
      <c r="B640">
        <v>4</v>
      </c>
      <c r="C640">
        <v>21</v>
      </c>
      <c r="D640">
        <v>5</v>
      </c>
      <c r="E640" s="1">
        <v>1981</v>
      </c>
      <c r="F640">
        <v>5</v>
      </c>
      <c r="G640" s="2">
        <f t="shared" si="18"/>
        <v>45893</v>
      </c>
      <c r="H640">
        <f t="shared" si="19"/>
        <v>3</v>
      </c>
    </row>
    <row r="641" spans="1:8" x14ac:dyDescent="0.3">
      <c r="A641" t="s">
        <v>86</v>
      </c>
      <c r="B641">
        <v>8</v>
      </c>
      <c r="C641">
        <v>30</v>
      </c>
      <c r="D641">
        <v>8</v>
      </c>
      <c r="E641" s="1">
        <v>1980</v>
      </c>
      <c r="F641">
        <v>11</v>
      </c>
      <c r="G641" s="2">
        <f t="shared" si="18"/>
        <v>45894</v>
      </c>
      <c r="H641">
        <f t="shared" si="19"/>
        <v>1</v>
      </c>
    </row>
    <row r="642" spans="1:8" x14ac:dyDescent="0.3">
      <c r="A642" t="s">
        <v>85</v>
      </c>
      <c r="B642">
        <v>10</v>
      </c>
      <c r="C642">
        <v>21</v>
      </c>
      <c r="D642">
        <v>20</v>
      </c>
      <c r="E642" s="1">
        <v>1989</v>
      </c>
      <c r="F642">
        <v>15</v>
      </c>
      <c r="G642" s="2">
        <f t="shared" ref="G642:G705" si="20">DATE(VALUE(RIGHT(A642,4)),MONTH(DATEVALUE(LEFT(A642,FIND(" ",A642)-1)&amp;"1")),VALUE(MID(A642,FIND(" ",A642)+1,FIND(",",A642)-FIND(" ",A642)-1)))</f>
        <v>45895</v>
      </c>
      <c r="H642">
        <f t="shared" si="19"/>
        <v>1</v>
      </c>
    </row>
    <row r="643" spans="1:8" x14ac:dyDescent="0.3">
      <c r="A643" t="s">
        <v>84</v>
      </c>
      <c r="B643">
        <v>5</v>
      </c>
      <c r="C643">
        <v>19</v>
      </c>
      <c r="D643">
        <v>9</v>
      </c>
      <c r="E643" s="1">
        <v>1988</v>
      </c>
      <c r="F643">
        <v>19</v>
      </c>
      <c r="G643" s="2">
        <f t="shared" si="20"/>
        <v>45896</v>
      </c>
      <c r="H643">
        <f t="shared" si="19"/>
        <v>1</v>
      </c>
    </row>
    <row r="644" spans="1:8" x14ac:dyDescent="0.3">
      <c r="A644" t="s">
        <v>83</v>
      </c>
      <c r="B644">
        <v>8</v>
      </c>
      <c r="C644">
        <v>33</v>
      </c>
      <c r="D644">
        <v>6</v>
      </c>
      <c r="E644" s="1">
        <v>1984</v>
      </c>
      <c r="F644">
        <v>17</v>
      </c>
      <c r="G644" s="2">
        <f t="shared" si="20"/>
        <v>45897</v>
      </c>
      <c r="H644">
        <f t="shared" ref="H644:H707" si="21">G644-G643</f>
        <v>1</v>
      </c>
    </row>
    <row r="645" spans="1:8" x14ac:dyDescent="0.3">
      <c r="A645" t="s">
        <v>82</v>
      </c>
      <c r="B645">
        <v>10</v>
      </c>
      <c r="C645">
        <v>29</v>
      </c>
      <c r="D645">
        <v>17</v>
      </c>
      <c r="E645" s="1">
        <v>2010</v>
      </c>
      <c r="F645">
        <v>5</v>
      </c>
      <c r="G645" s="2">
        <f t="shared" si="20"/>
        <v>45901</v>
      </c>
      <c r="H645">
        <f t="shared" si="21"/>
        <v>4</v>
      </c>
    </row>
    <row r="646" spans="1:8" x14ac:dyDescent="0.3">
      <c r="A646" t="s">
        <v>81</v>
      </c>
      <c r="B646">
        <v>6</v>
      </c>
      <c r="C646">
        <v>35</v>
      </c>
      <c r="D646">
        <v>9</v>
      </c>
      <c r="E646" s="1">
        <v>2020</v>
      </c>
      <c r="F646">
        <v>9</v>
      </c>
      <c r="G646" s="2">
        <f t="shared" si="20"/>
        <v>45902</v>
      </c>
      <c r="H646">
        <f t="shared" si="21"/>
        <v>1</v>
      </c>
    </row>
    <row r="647" spans="1:8" x14ac:dyDescent="0.3">
      <c r="A647" t="s">
        <v>80</v>
      </c>
      <c r="B647">
        <v>4</v>
      </c>
      <c r="C647">
        <v>29</v>
      </c>
      <c r="D647">
        <v>11</v>
      </c>
      <c r="E647" s="1">
        <v>2019</v>
      </c>
      <c r="F647">
        <v>10</v>
      </c>
      <c r="G647" s="2">
        <f t="shared" si="20"/>
        <v>45903</v>
      </c>
      <c r="H647">
        <f t="shared" si="21"/>
        <v>1</v>
      </c>
    </row>
    <row r="648" spans="1:8" x14ac:dyDescent="0.3">
      <c r="A648" t="s">
        <v>79</v>
      </c>
      <c r="B648">
        <v>11</v>
      </c>
      <c r="C648">
        <v>40</v>
      </c>
      <c r="D648">
        <v>2</v>
      </c>
      <c r="E648" s="1">
        <v>2015</v>
      </c>
      <c r="F648">
        <v>14</v>
      </c>
      <c r="G648" s="2">
        <f t="shared" si="20"/>
        <v>45904</v>
      </c>
      <c r="H648">
        <f t="shared" si="21"/>
        <v>1</v>
      </c>
    </row>
    <row r="649" spans="1:8" x14ac:dyDescent="0.3">
      <c r="A649" t="s">
        <v>78</v>
      </c>
      <c r="B649">
        <v>4</v>
      </c>
      <c r="C649">
        <v>19</v>
      </c>
      <c r="D649">
        <v>9</v>
      </c>
      <c r="E649" s="1">
        <v>2026</v>
      </c>
      <c r="F649">
        <v>7</v>
      </c>
      <c r="G649" s="2">
        <f t="shared" si="20"/>
        <v>45907</v>
      </c>
      <c r="H649">
        <f t="shared" si="21"/>
        <v>3</v>
      </c>
    </row>
    <row r="650" spans="1:8" x14ac:dyDescent="0.3">
      <c r="A650" t="s">
        <v>77</v>
      </c>
      <c r="B650">
        <v>7</v>
      </c>
      <c r="C650">
        <v>25</v>
      </c>
      <c r="D650">
        <v>5</v>
      </c>
      <c r="E650" s="1">
        <v>2025</v>
      </c>
      <c r="F650">
        <v>6</v>
      </c>
      <c r="G650" s="2">
        <f t="shared" si="20"/>
        <v>45908</v>
      </c>
      <c r="H650">
        <f t="shared" si="21"/>
        <v>1</v>
      </c>
    </row>
    <row r="651" spans="1:8" x14ac:dyDescent="0.3">
      <c r="A651" t="s">
        <v>76</v>
      </c>
      <c r="B651">
        <v>18</v>
      </c>
      <c r="C651">
        <v>42</v>
      </c>
      <c r="D651">
        <v>11</v>
      </c>
      <c r="E651" s="1">
        <v>2023</v>
      </c>
      <c r="F651">
        <v>14</v>
      </c>
      <c r="G651" s="2">
        <f t="shared" si="20"/>
        <v>45909</v>
      </c>
      <c r="H651">
        <f t="shared" si="21"/>
        <v>1</v>
      </c>
    </row>
    <row r="652" spans="1:8" x14ac:dyDescent="0.3">
      <c r="A652" t="s">
        <v>75</v>
      </c>
      <c r="B652">
        <v>10</v>
      </c>
      <c r="C652">
        <v>47</v>
      </c>
      <c r="D652">
        <v>14</v>
      </c>
      <c r="E652" s="1">
        <v>2025</v>
      </c>
      <c r="F652">
        <v>18</v>
      </c>
      <c r="G652" s="2">
        <f t="shared" si="20"/>
        <v>45910</v>
      </c>
      <c r="H652">
        <f t="shared" si="21"/>
        <v>1</v>
      </c>
    </row>
    <row r="653" spans="1:8" x14ac:dyDescent="0.3">
      <c r="A653" t="s">
        <v>74</v>
      </c>
      <c r="B653">
        <v>12</v>
      </c>
      <c r="C653">
        <v>38</v>
      </c>
      <c r="D653">
        <v>29</v>
      </c>
      <c r="E653" s="1">
        <v>2047</v>
      </c>
      <c r="F653">
        <v>6</v>
      </c>
      <c r="G653" s="2">
        <f t="shared" si="20"/>
        <v>45911</v>
      </c>
      <c r="H653">
        <f t="shared" si="21"/>
        <v>1</v>
      </c>
    </row>
    <row r="654" spans="1:8" x14ac:dyDescent="0.3">
      <c r="A654" t="s">
        <v>73</v>
      </c>
      <c r="B654">
        <v>7</v>
      </c>
      <c r="C654">
        <v>39</v>
      </c>
      <c r="D654">
        <v>13</v>
      </c>
      <c r="E654" s="1">
        <v>2083</v>
      </c>
      <c r="F654">
        <v>5</v>
      </c>
      <c r="G654" s="2">
        <f t="shared" si="20"/>
        <v>45914</v>
      </c>
      <c r="H654">
        <f t="shared" si="21"/>
        <v>3</v>
      </c>
    </row>
    <row r="655" spans="1:8" x14ac:dyDescent="0.3">
      <c r="A655" t="s">
        <v>72</v>
      </c>
      <c r="B655">
        <v>9</v>
      </c>
      <c r="C655">
        <v>47</v>
      </c>
      <c r="D655">
        <v>10</v>
      </c>
      <c r="E655" s="1">
        <v>2086</v>
      </c>
      <c r="F655">
        <v>10</v>
      </c>
      <c r="G655" s="2">
        <f t="shared" si="20"/>
        <v>45915</v>
      </c>
      <c r="H655">
        <f t="shared" si="21"/>
        <v>1</v>
      </c>
    </row>
    <row r="656" spans="1:8" x14ac:dyDescent="0.3">
      <c r="A656" t="s">
        <v>71</v>
      </c>
      <c r="B656">
        <v>7</v>
      </c>
      <c r="C656">
        <v>28</v>
      </c>
      <c r="D656">
        <v>17</v>
      </c>
      <c r="E656" s="1">
        <v>2095</v>
      </c>
      <c r="F656">
        <v>12</v>
      </c>
      <c r="G656" s="2">
        <f t="shared" si="20"/>
        <v>45916</v>
      </c>
      <c r="H656">
        <f t="shared" si="21"/>
        <v>1</v>
      </c>
    </row>
    <row r="657" spans="1:8" x14ac:dyDescent="0.3">
      <c r="A657" t="s">
        <v>70</v>
      </c>
      <c r="B657">
        <v>7</v>
      </c>
      <c r="C657">
        <v>38</v>
      </c>
      <c r="D657">
        <v>5</v>
      </c>
      <c r="E657" s="1">
        <v>2096</v>
      </c>
      <c r="F657">
        <v>13</v>
      </c>
      <c r="G657" s="2">
        <f t="shared" si="20"/>
        <v>45917</v>
      </c>
      <c r="H657">
        <f t="shared" si="21"/>
        <v>1</v>
      </c>
    </row>
    <row r="658" spans="1:8" x14ac:dyDescent="0.3">
      <c r="A658" t="s">
        <v>69</v>
      </c>
      <c r="B658">
        <v>20</v>
      </c>
      <c r="C658">
        <v>52</v>
      </c>
      <c r="D658">
        <v>11</v>
      </c>
      <c r="E658" s="1">
        <v>2096</v>
      </c>
      <c r="F658">
        <v>14</v>
      </c>
      <c r="G658" s="2">
        <f t="shared" si="20"/>
        <v>45918</v>
      </c>
      <c r="H658">
        <f t="shared" si="21"/>
        <v>1</v>
      </c>
    </row>
    <row r="659" spans="1:8" x14ac:dyDescent="0.3">
      <c r="A659" t="s">
        <v>68</v>
      </c>
      <c r="B659">
        <v>8</v>
      </c>
      <c r="C659">
        <v>35</v>
      </c>
      <c r="D659">
        <v>13</v>
      </c>
      <c r="E659" s="1">
        <v>2134</v>
      </c>
      <c r="F659">
        <v>5</v>
      </c>
      <c r="G659" s="2">
        <f t="shared" si="20"/>
        <v>45921</v>
      </c>
      <c r="H659">
        <f t="shared" si="21"/>
        <v>3</v>
      </c>
    </row>
    <row r="660" spans="1:8" x14ac:dyDescent="0.3">
      <c r="A660" t="s">
        <v>67</v>
      </c>
      <c r="B660">
        <v>17</v>
      </c>
      <c r="C660">
        <v>40</v>
      </c>
      <c r="D660">
        <v>14</v>
      </c>
      <c r="E660" s="1">
        <v>2141</v>
      </c>
      <c r="F660">
        <v>10</v>
      </c>
      <c r="G660" s="2">
        <f t="shared" si="20"/>
        <v>45922</v>
      </c>
      <c r="H660">
        <f t="shared" si="21"/>
        <v>1</v>
      </c>
    </row>
    <row r="661" spans="1:8" x14ac:dyDescent="0.3">
      <c r="A661" t="s">
        <v>66</v>
      </c>
      <c r="B661">
        <v>11</v>
      </c>
      <c r="C661">
        <v>36</v>
      </c>
      <c r="D661">
        <v>10</v>
      </c>
      <c r="E661" s="1">
        <v>2145</v>
      </c>
      <c r="F661">
        <v>15</v>
      </c>
      <c r="G661" s="2">
        <f t="shared" si="20"/>
        <v>45923</v>
      </c>
      <c r="H661">
        <f t="shared" si="21"/>
        <v>1</v>
      </c>
    </row>
    <row r="662" spans="1:8" x14ac:dyDescent="0.3">
      <c r="A662" t="s">
        <v>65</v>
      </c>
      <c r="B662">
        <v>3</v>
      </c>
      <c r="C662">
        <v>38</v>
      </c>
      <c r="D662">
        <v>12</v>
      </c>
      <c r="E662" s="1">
        <v>2138</v>
      </c>
      <c r="F662">
        <v>17</v>
      </c>
      <c r="G662" s="2">
        <f t="shared" si="20"/>
        <v>45924</v>
      </c>
      <c r="H662">
        <f t="shared" si="21"/>
        <v>1</v>
      </c>
    </row>
    <row r="663" spans="1:8" x14ac:dyDescent="0.3">
      <c r="A663" t="s">
        <v>64</v>
      </c>
      <c r="B663">
        <v>6</v>
      </c>
      <c r="C663">
        <v>35</v>
      </c>
      <c r="D663">
        <v>12</v>
      </c>
      <c r="E663" s="1">
        <v>2132</v>
      </c>
      <c r="F663">
        <v>18</v>
      </c>
      <c r="G663" s="2">
        <f t="shared" si="20"/>
        <v>45925</v>
      </c>
      <c r="H663">
        <f t="shared" si="21"/>
        <v>1</v>
      </c>
    </row>
    <row r="664" spans="1:8" x14ac:dyDescent="0.3">
      <c r="A664" t="s">
        <v>63</v>
      </c>
      <c r="B664">
        <v>11</v>
      </c>
      <c r="C664">
        <v>29</v>
      </c>
      <c r="D664">
        <v>12</v>
      </c>
      <c r="E664" s="1">
        <v>2146</v>
      </c>
      <c r="F664">
        <v>9</v>
      </c>
      <c r="G664" s="2">
        <f t="shared" si="20"/>
        <v>45928</v>
      </c>
      <c r="H664">
        <f t="shared" si="21"/>
        <v>3</v>
      </c>
    </row>
    <row r="665" spans="1:8" x14ac:dyDescent="0.3">
      <c r="A665" t="s">
        <v>62</v>
      </c>
      <c r="B665">
        <v>8</v>
      </c>
      <c r="C665">
        <v>35</v>
      </c>
      <c r="D665">
        <v>12</v>
      </c>
      <c r="E665" s="1">
        <v>2148</v>
      </c>
      <c r="F665">
        <v>13</v>
      </c>
      <c r="G665" s="2">
        <f t="shared" si="20"/>
        <v>45929</v>
      </c>
      <c r="H665">
        <f t="shared" si="21"/>
        <v>1</v>
      </c>
    </row>
    <row r="666" spans="1:8" x14ac:dyDescent="0.3">
      <c r="A666" t="s">
        <v>61</v>
      </c>
      <c r="B666">
        <v>8</v>
      </c>
      <c r="C666">
        <v>32</v>
      </c>
      <c r="D666">
        <v>12</v>
      </c>
      <c r="E666" s="1">
        <v>2159</v>
      </c>
      <c r="F666">
        <v>7</v>
      </c>
      <c r="G666" s="2">
        <f t="shared" si="20"/>
        <v>45930</v>
      </c>
      <c r="H666">
        <f t="shared" si="21"/>
        <v>1</v>
      </c>
    </row>
    <row r="667" spans="1:8" x14ac:dyDescent="0.3">
      <c r="A667" t="s">
        <v>60</v>
      </c>
      <c r="B667">
        <v>4</v>
      </c>
      <c r="C667">
        <v>33</v>
      </c>
      <c r="D667">
        <v>12</v>
      </c>
      <c r="E667" s="1">
        <v>2163</v>
      </c>
      <c r="F667">
        <v>14</v>
      </c>
      <c r="G667" s="2">
        <f t="shared" si="20"/>
        <v>45931</v>
      </c>
      <c r="H667">
        <f t="shared" si="21"/>
        <v>1</v>
      </c>
    </row>
    <row r="668" spans="1:8" x14ac:dyDescent="0.3">
      <c r="A668" t="s">
        <v>59</v>
      </c>
      <c r="B668">
        <v>20</v>
      </c>
      <c r="C668">
        <v>51</v>
      </c>
      <c r="D668">
        <v>15</v>
      </c>
      <c r="E668" s="1">
        <v>2164</v>
      </c>
      <c r="F668">
        <v>16</v>
      </c>
      <c r="G668" s="2">
        <f t="shared" si="20"/>
        <v>45932</v>
      </c>
      <c r="H668">
        <f t="shared" si="21"/>
        <v>1</v>
      </c>
    </row>
    <row r="669" spans="1:8" x14ac:dyDescent="0.3">
      <c r="A669" t="s">
        <v>58</v>
      </c>
      <c r="B669">
        <v>8</v>
      </c>
      <c r="C669">
        <v>28</v>
      </c>
      <c r="D669">
        <v>13</v>
      </c>
      <c r="E669" s="1">
        <v>2180</v>
      </c>
      <c r="F669">
        <v>16</v>
      </c>
      <c r="G669" s="2">
        <f t="shared" si="20"/>
        <v>45935</v>
      </c>
      <c r="H669">
        <f t="shared" si="21"/>
        <v>3</v>
      </c>
    </row>
    <row r="670" spans="1:8" x14ac:dyDescent="0.3">
      <c r="A670" t="s">
        <v>57</v>
      </c>
      <c r="B670">
        <v>5</v>
      </c>
      <c r="C670">
        <v>33</v>
      </c>
      <c r="D670">
        <v>15</v>
      </c>
      <c r="E670" s="1">
        <v>2187</v>
      </c>
      <c r="F670">
        <v>10</v>
      </c>
      <c r="G670" s="2">
        <f t="shared" si="20"/>
        <v>45936</v>
      </c>
      <c r="H670">
        <f t="shared" si="21"/>
        <v>1</v>
      </c>
    </row>
    <row r="671" spans="1:8" x14ac:dyDescent="0.3">
      <c r="A671" t="s">
        <v>56</v>
      </c>
      <c r="B671">
        <v>11</v>
      </c>
      <c r="C671">
        <v>45</v>
      </c>
      <c r="D671">
        <v>4</v>
      </c>
      <c r="E671" s="1">
        <v>2189</v>
      </c>
      <c r="F671">
        <v>10</v>
      </c>
      <c r="G671" s="2">
        <f t="shared" si="20"/>
        <v>45937</v>
      </c>
      <c r="H671">
        <f t="shared" si="21"/>
        <v>1</v>
      </c>
    </row>
    <row r="672" spans="1:8" x14ac:dyDescent="0.3">
      <c r="A672" t="s">
        <v>55</v>
      </c>
      <c r="B672">
        <v>8</v>
      </c>
      <c r="C672">
        <v>49</v>
      </c>
      <c r="D672">
        <v>15</v>
      </c>
      <c r="E672" s="1">
        <v>2192</v>
      </c>
      <c r="F672">
        <v>17</v>
      </c>
      <c r="G672" s="2">
        <f t="shared" si="20"/>
        <v>45938</v>
      </c>
      <c r="H672">
        <f t="shared" si="21"/>
        <v>1</v>
      </c>
    </row>
    <row r="673" spans="1:8" x14ac:dyDescent="0.3">
      <c r="A673" t="s">
        <v>54</v>
      </c>
      <c r="B673">
        <v>11</v>
      </c>
      <c r="C673">
        <v>55</v>
      </c>
      <c r="D673">
        <v>13</v>
      </c>
      <c r="E673" s="1">
        <v>2192</v>
      </c>
      <c r="F673">
        <v>12</v>
      </c>
      <c r="G673" s="2">
        <f t="shared" si="20"/>
        <v>45939</v>
      </c>
      <c r="H673">
        <f t="shared" si="21"/>
        <v>1</v>
      </c>
    </row>
    <row r="674" spans="1:8" x14ac:dyDescent="0.3">
      <c r="A674" t="s">
        <v>53</v>
      </c>
      <c r="B674">
        <v>8</v>
      </c>
      <c r="C674">
        <v>24</v>
      </c>
      <c r="D674">
        <v>7</v>
      </c>
      <c r="E674" s="1">
        <v>2223</v>
      </c>
      <c r="F674">
        <v>6</v>
      </c>
      <c r="G674" s="2">
        <f t="shared" si="20"/>
        <v>45943</v>
      </c>
      <c r="H674">
        <f t="shared" si="21"/>
        <v>4</v>
      </c>
    </row>
    <row r="675" spans="1:8" x14ac:dyDescent="0.3">
      <c r="A675" t="s">
        <v>52</v>
      </c>
      <c r="B675">
        <v>7</v>
      </c>
      <c r="C675">
        <v>30</v>
      </c>
      <c r="D675">
        <v>16</v>
      </c>
      <c r="E675" s="1">
        <v>2235</v>
      </c>
      <c r="F675">
        <v>8</v>
      </c>
      <c r="G675" s="2">
        <f t="shared" si="20"/>
        <v>45944</v>
      </c>
      <c r="H675">
        <f t="shared" si="21"/>
        <v>1</v>
      </c>
    </row>
    <row r="676" spans="1:8" x14ac:dyDescent="0.3">
      <c r="A676" t="s">
        <v>51</v>
      </c>
      <c r="B676">
        <v>8</v>
      </c>
      <c r="C676">
        <v>29</v>
      </c>
      <c r="D676">
        <v>10</v>
      </c>
      <c r="E676" s="1">
        <v>2225</v>
      </c>
      <c r="F676">
        <v>15</v>
      </c>
      <c r="G676" s="2">
        <f t="shared" si="20"/>
        <v>45945</v>
      </c>
      <c r="H676">
        <f t="shared" si="21"/>
        <v>1</v>
      </c>
    </row>
    <row r="677" spans="1:8" x14ac:dyDescent="0.3">
      <c r="A677" t="s">
        <v>50</v>
      </c>
      <c r="B677">
        <v>9</v>
      </c>
      <c r="C677">
        <v>33</v>
      </c>
      <c r="D677">
        <v>15</v>
      </c>
      <c r="E677" s="1">
        <v>2233</v>
      </c>
      <c r="F677">
        <v>9</v>
      </c>
      <c r="G677" s="2">
        <f t="shared" si="20"/>
        <v>45946</v>
      </c>
      <c r="H677">
        <f t="shared" si="21"/>
        <v>1</v>
      </c>
    </row>
    <row r="678" spans="1:8" x14ac:dyDescent="0.3">
      <c r="A678" t="s">
        <v>49</v>
      </c>
      <c r="B678">
        <v>9</v>
      </c>
      <c r="C678">
        <v>34</v>
      </c>
      <c r="D678">
        <v>17</v>
      </c>
      <c r="E678" s="1">
        <v>2237</v>
      </c>
      <c r="F678">
        <v>7</v>
      </c>
      <c r="G678" s="2">
        <f t="shared" si="20"/>
        <v>45949</v>
      </c>
      <c r="H678">
        <f t="shared" si="21"/>
        <v>3</v>
      </c>
    </row>
    <row r="679" spans="1:8" x14ac:dyDescent="0.3">
      <c r="A679" t="s">
        <v>48</v>
      </c>
      <c r="B679">
        <v>10</v>
      </c>
      <c r="C679">
        <v>39</v>
      </c>
      <c r="D679">
        <v>6</v>
      </c>
      <c r="E679" s="1">
        <v>2243</v>
      </c>
      <c r="F679">
        <v>7</v>
      </c>
      <c r="G679" s="2">
        <f t="shared" si="20"/>
        <v>45950</v>
      </c>
      <c r="H679">
        <f t="shared" si="21"/>
        <v>1</v>
      </c>
    </row>
    <row r="680" spans="1:8" x14ac:dyDescent="0.3">
      <c r="A680" t="s">
        <v>47</v>
      </c>
      <c r="B680">
        <v>13</v>
      </c>
      <c r="C680">
        <v>39</v>
      </c>
      <c r="D680">
        <v>17</v>
      </c>
      <c r="E680" s="1">
        <v>2251</v>
      </c>
      <c r="F680">
        <v>9</v>
      </c>
      <c r="G680" s="2">
        <f t="shared" si="20"/>
        <v>45951</v>
      </c>
      <c r="H680">
        <f t="shared" si="21"/>
        <v>1</v>
      </c>
    </row>
    <row r="681" spans="1:8" x14ac:dyDescent="0.3">
      <c r="A681" t="s">
        <v>46</v>
      </c>
      <c r="B681">
        <v>12</v>
      </c>
      <c r="C681">
        <v>42</v>
      </c>
      <c r="D681">
        <v>13</v>
      </c>
      <c r="E681" s="1">
        <v>2261</v>
      </c>
      <c r="F681">
        <v>12</v>
      </c>
      <c r="G681" s="2">
        <f t="shared" si="20"/>
        <v>45952</v>
      </c>
      <c r="H681">
        <f t="shared" si="21"/>
        <v>1</v>
      </c>
    </row>
    <row r="682" spans="1:8" x14ac:dyDescent="0.3">
      <c r="A682" t="s">
        <v>45</v>
      </c>
      <c r="B682">
        <v>4</v>
      </c>
      <c r="C682">
        <v>27</v>
      </c>
      <c r="D682">
        <v>26</v>
      </c>
      <c r="E682" s="1">
        <v>2266</v>
      </c>
      <c r="F682">
        <v>18</v>
      </c>
      <c r="G682" s="2">
        <f t="shared" si="20"/>
        <v>45953</v>
      </c>
      <c r="H682">
        <f t="shared" si="21"/>
        <v>1</v>
      </c>
    </row>
    <row r="683" spans="1:8" x14ac:dyDescent="0.3">
      <c r="A683" t="s">
        <v>44</v>
      </c>
      <c r="B683">
        <v>4</v>
      </c>
      <c r="C683">
        <v>35</v>
      </c>
      <c r="D683">
        <v>12</v>
      </c>
      <c r="E683" s="1">
        <v>2276</v>
      </c>
      <c r="F683">
        <v>10</v>
      </c>
      <c r="G683" s="2">
        <f t="shared" si="20"/>
        <v>45956</v>
      </c>
      <c r="H683">
        <f t="shared" si="21"/>
        <v>3</v>
      </c>
    </row>
    <row r="684" spans="1:8" x14ac:dyDescent="0.3">
      <c r="A684" t="s">
        <v>43</v>
      </c>
      <c r="B684">
        <v>2</v>
      </c>
      <c r="C684">
        <v>31</v>
      </c>
      <c r="D684">
        <v>8</v>
      </c>
      <c r="E684" s="1">
        <v>2282</v>
      </c>
      <c r="F684">
        <v>11</v>
      </c>
      <c r="G684" s="2">
        <f t="shared" si="20"/>
        <v>45957</v>
      </c>
      <c r="H684">
        <f t="shared" si="21"/>
        <v>1</v>
      </c>
    </row>
    <row r="685" spans="1:8" x14ac:dyDescent="0.3">
      <c r="A685" t="s">
        <v>42</v>
      </c>
      <c r="B685">
        <v>6</v>
      </c>
      <c r="C685">
        <v>22</v>
      </c>
      <c r="D685">
        <v>11</v>
      </c>
      <c r="E685" s="1">
        <v>2286</v>
      </c>
      <c r="F685">
        <v>6</v>
      </c>
      <c r="G685" s="2">
        <f t="shared" si="20"/>
        <v>45958</v>
      </c>
      <c r="H685">
        <f t="shared" si="21"/>
        <v>1</v>
      </c>
    </row>
    <row r="686" spans="1:8" x14ac:dyDescent="0.3">
      <c r="A686" t="s">
        <v>41</v>
      </c>
      <c r="B686">
        <v>6</v>
      </c>
      <c r="C686">
        <v>25</v>
      </c>
      <c r="D686">
        <v>4</v>
      </c>
      <c r="E686" s="1">
        <v>2280</v>
      </c>
      <c r="F686">
        <v>17</v>
      </c>
      <c r="G686" s="2">
        <f t="shared" si="20"/>
        <v>45959</v>
      </c>
      <c r="H686">
        <f t="shared" si="21"/>
        <v>1</v>
      </c>
    </row>
    <row r="687" spans="1:8" x14ac:dyDescent="0.3">
      <c r="A687" t="s">
        <v>40</v>
      </c>
      <c r="B687">
        <v>3</v>
      </c>
      <c r="C687">
        <v>17</v>
      </c>
      <c r="D687">
        <v>14</v>
      </c>
      <c r="E687" s="1">
        <v>2287</v>
      </c>
      <c r="F687">
        <v>12</v>
      </c>
      <c r="G687" s="2">
        <f t="shared" si="20"/>
        <v>45960</v>
      </c>
      <c r="H687">
        <f t="shared" si="21"/>
        <v>1</v>
      </c>
    </row>
    <row r="688" spans="1:8" x14ac:dyDescent="0.3">
      <c r="A688" t="s">
        <v>39</v>
      </c>
      <c r="B688">
        <v>5</v>
      </c>
      <c r="C688">
        <v>21</v>
      </c>
      <c r="D688">
        <v>10</v>
      </c>
      <c r="E688" s="1">
        <v>2277</v>
      </c>
      <c r="F688">
        <v>7</v>
      </c>
      <c r="G688" s="2">
        <f t="shared" si="20"/>
        <v>45963</v>
      </c>
      <c r="H688">
        <f t="shared" si="21"/>
        <v>3</v>
      </c>
    </row>
    <row r="689" spans="1:8" x14ac:dyDescent="0.3">
      <c r="A689" t="s">
        <v>38</v>
      </c>
      <c r="B689">
        <v>3</v>
      </c>
      <c r="C689">
        <v>28</v>
      </c>
      <c r="D689">
        <v>5</v>
      </c>
      <c r="E689" s="1">
        <v>2269</v>
      </c>
      <c r="F689">
        <v>12</v>
      </c>
      <c r="G689" s="2">
        <f t="shared" si="20"/>
        <v>45964</v>
      </c>
      <c r="H689">
        <f t="shared" si="21"/>
        <v>1</v>
      </c>
    </row>
    <row r="690" spans="1:8" x14ac:dyDescent="0.3">
      <c r="A690" t="s">
        <v>37</v>
      </c>
      <c r="B690">
        <v>6</v>
      </c>
      <c r="C690">
        <v>33</v>
      </c>
      <c r="D690">
        <v>6</v>
      </c>
      <c r="E690" s="1">
        <v>2270</v>
      </c>
      <c r="F690">
        <v>8</v>
      </c>
      <c r="G690" s="2">
        <f t="shared" si="20"/>
        <v>45965</v>
      </c>
      <c r="H690">
        <f t="shared" si="21"/>
        <v>1</v>
      </c>
    </row>
    <row r="691" spans="1:8" x14ac:dyDescent="0.3">
      <c r="A691" t="s">
        <v>36</v>
      </c>
      <c r="B691">
        <v>8</v>
      </c>
      <c r="C691">
        <v>41</v>
      </c>
      <c r="D691">
        <v>8</v>
      </c>
      <c r="E691" s="1">
        <v>2272</v>
      </c>
      <c r="F691">
        <v>7</v>
      </c>
      <c r="G691" s="2">
        <f t="shared" si="20"/>
        <v>45966</v>
      </c>
      <c r="H691">
        <f t="shared" si="21"/>
        <v>1</v>
      </c>
    </row>
    <row r="692" spans="1:8" x14ac:dyDescent="0.3">
      <c r="A692" t="s">
        <v>35</v>
      </c>
      <c r="B692">
        <v>6</v>
      </c>
      <c r="C692">
        <v>33</v>
      </c>
      <c r="D692">
        <v>9</v>
      </c>
      <c r="E692" s="1">
        <v>2264</v>
      </c>
      <c r="F692">
        <v>19</v>
      </c>
      <c r="G692" s="2">
        <f t="shared" si="20"/>
        <v>45967</v>
      </c>
      <c r="H692">
        <f t="shared" si="21"/>
        <v>1</v>
      </c>
    </row>
    <row r="693" spans="1:8" x14ac:dyDescent="0.3">
      <c r="A693" t="s">
        <v>34</v>
      </c>
      <c r="B693">
        <v>11</v>
      </c>
      <c r="C693">
        <v>33</v>
      </c>
      <c r="D693">
        <v>5</v>
      </c>
      <c r="E693" s="1">
        <v>2294</v>
      </c>
      <c r="F693">
        <v>4</v>
      </c>
      <c r="G693" s="2">
        <f t="shared" si="20"/>
        <v>45970</v>
      </c>
      <c r="H693">
        <f t="shared" si="21"/>
        <v>3</v>
      </c>
    </row>
    <row r="694" spans="1:8" x14ac:dyDescent="0.3">
      <c r="A694" t="s">
        <v>33</v>
      </c>
      <c r="B694">
        <v>11</v>
      </c>
      <c r="C694">
        <v>39</v>
      </c>
      <c r="D694">
        <v>12</v>
      </c>
      <c r="E694" s="1">
        <v>2294</v>
      </c>
      <c r="F694">
        <v>14</v>
      </c>
      <c r="G694" s="2">
        <f t="shared" si="20"/>
        <v>45972</v>
      </c>
      <c r="H694">
        <f t="shared" si="21"/>
        <v>2</v>
      </c>
    </row>
    <row r="695" spans="1:8" x14ac:dyDescent="0.3">
      <c r="A695" t="s">
        <v>32</v>
      </c>
      <c r="B695">
        <v>14</v>
      </c>
      <c r="C695">
        <v>48</v>
      </c>
      <c r="D695">
        <v>20</v>
      </c>
      <c r="E695" s="1">
        <v>2302</v>
      </c>
      <c r="F695">
        <v>7</v>
      </c>
      <c r="G695" s="2">
        <f t="shared" si="20"/>
        <v>45973</v>
      </c>
      <c r="H695">
        <f t="shared" si="21"/>
        <v>1</v>
      </c>
    </row>
    <row r="696" spans="1:8" x14ac:dyDescent="0.3">
      <c r="A696" t="s">
        <v>31</v>
      </c>
      <c r="B696">
        <v>6</v>
      </c>
      <c r="C696">
        <v>26</v>
      </c>
      <c r="D696">
        <v>16</v>
      </c>
      <c r="E696" s="1">
        <v>2317</v>
      </c>
      <c r="F696">
        <v>5</v>
      </c>
      <c r="G696" s="2">
        <f t="shared" si="20"/>
        <v>45974</v>
      </c>
      <c r="H696">
        <f t="shared" si="21"/>
        <v>1</v>
      </c>
    </row>
    <row r="697" spans="1:8" x14ac:dyDescent="0.3">
      <c r="A697" t="s">
        <v>30</v>
      </c>
      <c r="B697">
        <v>5</v>
      </c>
      <c r="C697">
        <v>22</v>
      </c>
      <c r="D697">
        <v>3</v>
      </c>
      <c r="E697" s="1">
        <v>2340</v>
      </c>
      <c r="F697">
        <v>5</v>
      </c>
      <c r="G697" s="2">
        <f t="shared" si="20"/>
        <v>45977</v>
      </c>
      <c r="H697">
        <f t="shared" si="21"/>
        <v>3</v>
      </c>
    </row>
    <row r="698" spans="1:8" x14ac:dyDescent="0.3">
      <c r="A698" t="s">
        <v>29</v>
      </c>
      <c r="B698">
        <v>1</v>
      </c>
      <c r="C698">
        <v>35</v>
      </c>
      <c r="D698">
        <v>6</v>
      </c>
      <c r="E698" s="1">
        <v>2343</v>
      </c>
      <c r="F698">
        <v>8</v>
      </c>
      <c r="G698" s="2">
        <f t="shared" si="20"/>
        <v>45978</v>
      </c>
      <c r="H698">
        <f t="shared" si="21"/>
        <v>1</v>
      </c>
    </row>
    <row r="699" spans="1:8" x14ac:dyDescent="0.3">
      <c r="A699" t="s">
        <v>28</v>
      </c>
      <c r="B699">
        <v>2</v>
      </c>
      <c r="C699">
        <v>38</v>
      </c>
      <c r="D699">
        <v>8</v>
      </c>
      <c r="E699" s="1">
        <v>2345</v>
      </c>
      <c r="F699">
        <v>12</v>
      </c>
      <c r="G699" s="2">
        <f t="shared" si="20"/>
        <v>45979</v>
      </c>
      <c r="H699">
        <f t="shared" si="21"/>
        <v>1</v>
      </c>
    </row>
    <row r="700" spans="1:8" x14ac:dyDescent="0.3">
      <c r="A700" t="s">
        <v>27</v>
      </c>
      <c r="B700">
        <v>7</v>
      </c>
      <c r="C700">
        <v>32</v>
      </c>
      <c r="D700">
        <v>3</v>
      </c>
      <c r="E700" s="1">
        <v>2340</v>
      </c>
      <c r="F700">
        <v>10</v>
      </c>
      <c r="G700" s="2">
        <f t="shared" si="20"/>
        <v>45980</v>
      </c>
      <c r="H700">
        <f t="shared" si="21"/>
        <v>1</v>
      </c>
    </row>
    <row r="701" spans="1:8" x14ac:dyDescent="0.3">
      <c r="A701" t="s">
        <v>26</v>
      </c>
      <c r="B701">
        <v>18</v>
      </c>
      <c r="C701">
        <v>57</v>
      </c>
      <c r="D701">
        <v>8</v>
      </c>
      <c r="E701" s="1">
        <v>2340</v>
      </c>
      <c r="F701">
        <v>9</v>
      </c>
      <c r="G701" s="2">
        <f t="shared" si="20"/>
        <v>45981</v>
      </c>
      <c r="H701">
        <f t="shared" si="21"/>
        <v>1</v>
      </c>
    </row>
    <row r="702" spans="1:8" x14ac:dyDescent="0.3">
      <c r="A702" t="s">
        <v>25</v>
      </c>
      <c r="B702">
        <v>3</v>
      </c>
      <c r="C702">
        <v>46</v>
      </c>
      <c r="D702">
        <v>22</v>
      </c>
      <c r="E702" s="1">
        <v>2375</v>
      </c>
      <c r="F702">
        <v>1</v>
      </c>
      <c r="G702" s="2">
        <f t="shared" si="20"/>
        <v>45984</v>
      </c>
      <c r="H702">
        <f t="shared" si="21"/>
        <v>3</v>
      </c>
    </row>
    <row r="703" spans="1:8" x14ac:dyDescent="0.3">
      <c r="A703" t="s">
        <v>24</v>
      </c>
      <c r="B703">
        <v>9</v>
      </c>
      <c r="C703">
        <v>40</v>
      </c>
      <c r="D703">
        <v>9</v>
      </c>
      <c r="E703" s="1">
        <v>2371</v>
      </c>
      <c r="F703">
        <v>13</v>
      </c>
      <c r="G703" s="2">
        <f t="shared" si="20"/>
        <v>45985</v>
      </c>
      <c r="H703">
        <f t="shared" si="21"/>
        <v>1</v>
      </c>
    </row>
    <row r="704" spans="1:8" x14ac:dyDescent="0.3">
      <c r="A704" t="s">
        <v>23</v>
      </c>
      <c r="B704">
        <v>6</v>
      </c>
      <c r="C704">
        <v>47</v>
      </c>
      <c r="D704">
        <v>14</v>
      </c>
      <c r="E704" s="1">
        <v>2375</v>
      </c>
      <c r="F704">
        <v>11</v>
      </c>
      <c r="G704" s="2">
        <f t="shared" si="20"/>
        <v>45986</v>
      </c>
      <c r="H704">
        <f t="shared" si="21"/>
        <v>1</v>
      </c>
    </row>
    <row r="705" spans="1:8" x14ac:dyDescent="0.3">
      <c r="A705" t="s">
        <v>22</v>
      </c>
      <c r="B705">
        <v>4</v>
      </c>
      <c r="C705">
        <v>24</v>
      </c>
      <c r="D705">
        <v>8</v>
      </c>
      <c r="E705" s="1">
        <v>2389</v>
      </c>
      <c r="F705">
        <v>7</v>
      </c>
      <c r="G705" s="2">
        <f t="shared" si="20"/>
        <v>45988</v>
      </c>
      <c r="H705">
        <f t="shared" si="21"/>
        <v>2</v>
      </c>
    </row>
    <row r="706" spans="1:8" x14ac:dyDescent="0.3">
      <c r="A706" t="s">
        <v>21</v>
      </c>
      <c r="B706">
        <v>4</v>
      </c>
      <c r="C706">
        <v>18</v>
      </c>
      <c r="D706">
        <v>10</v>
      </c>
      <c r="E706" s="1">
        <v>2415</v>
      </c>
      <c r="F706">
        <v>0</v>
      </c>
      <c r="G706" s="2">
        <f t="shared" ref="G706:G721" si="22">DATE(VALUE(RIGHT(A706,4)),MONTH(DATEVALUE(LEFT(A706,FIND(" ",A706)-1)&amp;"1")),VALUE(MID(A706,FIND(" ",A706)+1,FIND(",",A706)-FIND(" ",A706)-1)))</f>
        <v>45991</v>
      </c>
      <c r="H706">
        <f t="shared" si="21"/>
        <v>3</v>
      </c>
    </row>
    <row r="707" spans="1:8" x14ac:dyDescent="0.3">
      <c r="A707" t="s">
        <v>20</v>
      </c>
      <c r="B707">
        <v>4</v>
      </c>
      <c r="C707">
        <v>26</v>
      </c>
      <c r="D707">
        <v>4</v>
      </c>
      <c r="E707" s="1">
        <v>2410</v>
      </c>
      <c r="F707">
        <v>9</v>
      </c>
      <c r="G707" s="2">
        <f t="shared" si="22"/>
        <v>45992</v>
      </c>
      <c r="H707">
        <f t="shared" si="21"/>
        <v>1</v>
      </c>
    </row>
    <row r="708" spans="1:8" x14ac:dyDescent="0.3">
      <c r="A708" t="s">
        <v>19</v>
      </c>
      <c r="B708">
        <v>7</v>
      </c>
      <c r="C708">
        <v>34</v>
      </c>
      <c r="D708">
        <v>6</v>
      </c>
      <c r="E708" s="1">
        <v>2407</v>
      </c>
      <c r="F708">
        <v>8</v>
      </c>
      <c r="G708" s="2">
        <f t="shared" si="22"/>
        <v>45993</v>
      </c>
      <c r="H708">
        <f t="shared" ref="H708:H721" si="23">G708-G707</f>
        <v>1</v>
      </c>
    </row>
    <row r="709" spans="1:8" x14ac:dyDescent="0.3">
      <c r="A709" t="s">
        <v>18</v>
      </c>
      <c r="B709">
        <v>4</v>
      </c>
      <c r="C709">
        <v>32</v>
      </c>
      <c r="D709">
        <v>8</v>
      </c>
      <c r="E709" s="1">
        <v>2419</v>
      </c>
      <c r="F709">
        <v>7</v>
      </c>
      <c r="G709" s="2">
        <f t="shared" si="22"/>
        <v>45994</v>
      </c>
      <c r="H709">
        <f t="shared" si="23"/>
        <v>1</v>
      </c>
    </row>
    <row r="710" spans="1:8" x14ac:dyDescent="0.3">
      <c r="A710" t="s">
        <v>17</v>
      </c>
      <c r="B710">
        <v>16</v>
      </c>
      <c r="C710">
        <v>39</v>
      </c>
      <c r="D710">
        <v>7</v>
      </c>
      <c r="E710" s="1">
        <v>2418</v>
      </c>
      <c r="F710">
        <v>13</v>
      </c>
      <c r="G710" s="2">
        <f t="shared" si="22"/>
        <v>45995</v>
      </c>
      <c r="H710">
        <f t="shared" si="23"/>
        <v>1</v>
      </c>
    </row>
    <row r="711" spans="1:8" x14ac:dyDescent="0.3">
      <c r="A711" t="s">
        <v>16</v>
      </c>
      <c r="B711">
        <v>4</v>
      </c>
      <c r="C711">
        <v>24</v>
      </c>
      <c r="D711">
        <v>13</v>
      </c>
      <c r="E711" s="1">
        <v>2429</v>
      </c>
      <c r="F711">
        <v>12</v>
      </c>
      <c r="G711" s="2">
        <f t="shared" si="22"/>
        <v>45998</v>
      </c>
      <c r="H711">
        <f t="shared" si="23"/>
        <v>3</v>
      </c>
    </row>
    <row r="712" spans="1:8" x14ac:dyDescent="0.3">
      <c r="A712" t="s">
        <v>15</v>
      </c>
      <c r="B712">
        <v>9</v>
      </c>
      <c r="C712">
        <v>27</v>
      </c>
      <c r="D712">
        <v>9</v>
      </c>
      <c r="E712" s="1">
        <v>2440</v>
      </c>
      <c r="F712">
        <v>4</v>
      </c>
      <c r="G712" s="2">
        <f t="shared" si="22"/>
        <v>45999</v>
      </c>
      <c r="H712">
        <f t="shared" si="23"/>
        <v>1</v>
      </c>
    </row>
    <row r="713" spans="1:8" x14ac:dyDescent="0.3">
      <c r="A713" t="s">
        <v>14</v>
      </c>
      <c r="B713">
        <v>4</v>
      </c>
      <c r="C713">
        <v>30</v>
      </c>
      <c r="D713">
        <v>7</v>
      </c>
      <c r="E713" s="1">
        <v>2443</v>
      </c>
      <c r="F713">
        <v>8</v>
      </c>
      <c r="G713" s="2">
        <f t="shared" si="22"/>
        <v>46000</v>
      </c>
      <c r="H713">
        <f t="shared" si="23"/>
        <v>1</v>
      </c>
    </row>
    <row r="714" spans="1:8" x14ac:dyDescent="0.3">
      <c r="A714" t="s">
        <v>13</v>
      </c>
      <c r="B714">
        <v>10</v>
      </c>
      <c r="C714">
        <v>54</v>
      </c>
      <c r="D714">
        <v>5</v>
      </c>
      <c r="E714" s="1">
        <v>2439</v>
      </c>
      <c r="F714">
        <v>9</v>
      </c>
      <c r="G714" s="2">
        <f t="shared" si="22"/>
        <v>46001</v>
      </c>
      <c r="H714">
        <f t="shared" si="23"/>
        <v>1</v>
      </c>
    </row>
    <row r="715" spans="1:8" x14ac:dyDescent="0.3">
      <c r="A715" t="s">
        <v>12</v>
      </c>
      <c r="B715">
        <v>7</v>
      </c>
      <c r="C715">
        <v>47</v>
      </c>
      <c r="D715">
        <v>9</v>
      </c>
      <c r="E715" s="1">
        <v>2437</v>
      </c>
      <c r="F715">
        <v>10</v>
      </c>
      <c r="G715" s="2">
        <f t="shared" si="22"/>
        <v>46002</v>
      </c>
      <c r="H715">
        <f t="shared" si="23"/>
        <v>1</v>
      </c>
    </row>
    <row r="716" spans="1:8" x14ac:dyDescent="0.3">
      <c r="A716" t="s">
        <v>11</v>
      </c>
      <c r="B716">
        <v>8</v>
      </c>
      <c r="C716">
        <v>35</v>
      </c>
      <c r="D716">
        <v>4</v>
      </c>
      <c r="E716" s="1">
        <v>2462</v>
      </c>
      <c r="F716">
        <v>8</v>
      </c>
      <c r="G716" s="2">
        <f t="shared" si="22"/>
        <v>46005</v>
      </c>
      <c r="H716">
        <f t="shared" si="23"/>
        <v>3</v>
      </c>
    </row>
    <row r="717" spans="1:8" x14ac:dyDescent="0.3">
      <c r="A717" t="s">
        <v>10</v>
      </c>
      <c r="B717">
        <v>11</v>
      </c>
      <c r="C717">
        <v>42</v>
      </c>
      <c r="D717">
        <v>9</v>
      </c>
      <c r="E717" s="1">
        <v>2470</v>
      </c>
      <c r="F717">
        <v>7</v>
      </c>
      <c r="G717" s="2">
        <f t="shared" si="22"/>
        <v>46006</v>
      </c>
      <c r="H717">
        <f t="shared" si="23"/>
        <v>1</v>
      </c>
    </row>
    <row r="718" spans="1:8" x14ac:dyDescent="0.3">
      <c r="A718" t="s">
        <v>9</v>
      </c>
      <c r="B718">
        <v>8</v>
      </c>
      <c r="C718">
        <v>54</v>
      </c>
      <c r="D718">
        <v>15</v>
      </c>
      <c r="E718" s="1">
        <v>2468</v>
      </c>
      <c r="F718">
        <v>9</v>
      </c>
      <c r="G718" s="2">
        <f t="shared" si="22"/>
        <v>46007</v>
      </c>
      <c r="H718">
        <f t="shared" si="23"/>
        <v>1</v>
      </c>
    </row>
    <row r="719" spans="1:8" x14ac:dyDescent="0.3">
      <c r="A719" t="s">
        <v>8</v>
      </c>
      <c r="B719">
        <v>7</v>
      </c>
      <c r="C719">
        <v>31</v>
      </c>
      <c r="D719">
        <v>11</v>
      </c>
      <c r="E719" s="1">
        <v>2481</v>
      </c>
      <c r="F719">
        <v>10</v>
      </c>
      <c r="G719" s="2">
        <f t="shared" si="22"/>
        <v>46008</v>
      </c>
      <c r="H719">
        <f t="shared" si="23"/>
        <v>1</v>
      </c>
    </row>
    <row r="720" spans="1:8" x14ac:dyDescent="0.3">
      <c r="A720" t="s">
        <v>7</v>
      </c>
      <c r="B720">
        <v>11</v>
      </c>
      <c r="C720">
        <v>50</v>
      </c>
      <c r="D720">
        <v>6</v>
      </c>
      <c r="E720" s="1">
        <v>2472</v>
      </c>
      <c r="F720">
        <v>16</v>
      </c>
      <c r="G720" s="2">
        <f t="shared" si="22"/>
        <v>46009</v>
      </c>
      <c r="H720">
        <f t="shared" si="23"/>
        <v>1</v>
      </c>
    </row>
    <row r="721" spans="1:8" x14ac:dyDescent="0.3">
      <c r="A721" t="s">
        <v>6</v>
      </c>
      <c r="B721">
        <v>6</v>
      </c>
      <c r="C721">
        <v>18</v>
      </c>
      <c r="D721">
        <v>11</v>
      </c>
      <c r="E721" s="1">
        <v>2484</v>
      </c>
      <c r="F721">
        <v>14</v>
      </c>
      <c r="G721" s="2">
        <f t="shared" si="22"/>
        <v>46012</v>
      </c>
      <c r="H721">
        <f t="shared" si="23"/>
        <v>3</v>
      </c>
    </row>
  </sheetData>
  <sortState xmlns:xlrd2="http://schemas.microsoft.com/office/spreadsheetml/2017/richdata2" ref="A2:G721">
    <sortCondition ref="G2:G72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A695E-DA9E-4461-8C16-4837D6F0B0C5}">
  <dimension ref="A1:M721"/>
  <sheetViews>
    <sheetView tabSelected="1" topLeftCell="I1" workbookViewId="0">
      <selection activeCell="M16" sqref="M16:M721"/>
    </sheetView>
  </sheetViews>
  <sheetFormatPr defaultRowHeight="14.4" x14ac:dyDescent="0.3"/>
  <cols>
    <col min="1" max="1" width="10.33203125" bestFit="1" customWidth="1"/>
    <col min="2" max="2" width="19.6640625" bestFit="1" customWidth="1"/>
    <col min="3" max="3" width="22.21875" bestFit="1" customWidth="1"/>
    <col min="4" max="4" width="12.5546875" bestFit="1" customWidth="1"/>
    <col min="5" max="5" width="19.44140625" bestFit="1" customWidth="1"/>
    <col min="6" max="6" width="17.77734375" bestFit="1" customWidth="1"/>
    <col min="7" max="7" width="12" bestFit="1" customWidth="1"/>
    <col min="8" max="8" width="13.109375" bestFit="1" customWidth="1"/>
    <col min="10" max="11" width="10.33203125" bestFit="1" customWidth="1"/>
    <col min="12" max="12" width="11.33203125" bestFit="1" customWidth="1"/>
    <col min="13" max="13" width="17.5546875" bestFit="1" customWidth="1"/>
  </cols>
  <sheetData>
    <row r="1" spans="1:13" x14ac:dyDescent="0.3">
      <c r="A1" s="3" t="s">
        <v>0</v>
      </c>
      <c r="B1" s="3" t="s">
        <v>730</v>
      </c>
      <c r="C1" s="3" t="s">
        <v>731</v>
      </c>
      <c r="D1" s="3" t="s">
        <v>732</v>
      </c>
      <c r="E1" s="3" t="s">
        <v>733</v>
      </c>
      <c r="F1" s="3" t="s">
        <v>734</v>
      </c>
      <c r="G1" s="3" t="s">
        <v>735</v>
      </c>
      <c r="H1" s="3" t="s">
        <v>736</v>
      </c>
      <c r="I1" s="3" t="s">
        <v>737</v>
      </c>
      <c r="J1" s="3" t="s">
        <v>738</v>
      </c>
      <c r="K1" s="3" t="s">
        <v>739</v>
      </c>
      <c r="L1" s="3" t="s">
        <v>740</v>
      </c>
      <c r="M1" s="3" t="s">
        <v>741</v>
      </c>
    </row>
    <row r="2" spans="1:13" x14ac:dyDescent="0.3">
      <c r="A2" s="2">
        <f>[1]HHS_Unaccompanied_Alien_Childre!G2</f>
        <v>44938</v>
      </c>
      <c r="B2">
        <f>[2]HHS_Unaccompanied_Alien_Childre!B2</f>
        <v>33</v>
      </c>
      <c r="C2">
        <f>[3]HHS_Unaccompanied_Alien_Childre!C2</f>
        <v>53</v>
      </c>
      <c r="D2">
        <f>[2]HHS_Unaccompanied_Alien_Childre!D2</f>
        <v>34</v>
      </c>
      <c r="E2">
        <f>[2]HHS_Unaccompanied_Alien_Childre!E2</f>
        <v>6566</v>
      </c>
      <c r="F2">
        <f>[3]HHS_Unaccompanied_Alien_Childre!F2</f>
        <v>436</v>
      </c>
      <c r="I2">
        <f>B2-D2</f>
        <v>-1</v>
      </c>
    </row>
    <row r="3" spans="1:13" x14ac:dyDescent="0.3">
      <c r="A3" s="2">
        <f>[1]HHS_Unaccompanied_Alien_Childre!G3</f>
        <v>44948</v>
      </c>
      <c r="B3">
        <f>[2]HHS_Unaccompanied_Alien_Childre!B3</f>
        <v>32</v>
      </c>
      <c r="C3">
        <f>[3]HHS_Unaccompanied_Alien_Childre!C3</f>
        <v>49</v>
      </c>
      <c r="D3">
        <f>[2]HHS_Unaccompanied_Alien_Childre!D3</f>
        <v>39</v>
      </c>
      <c r="E3">
        <f>[2]HHS_Unaccompanied_Alien_Childre!E3</f>
        <v>7122</v>
      </c>
      <c r="F3">
        <f>[3]HHS_Unaccompanied_Alien_Childre!F3</f>
        <v>227</v>
      </c>
      <c r="G3">
        <f>E3-E2</f>
        <v>556</v>
      </c>
      <c r="H3" t="str">
        <f>IF(G3&gt;0,"Increase",IF(G3&lt;0,"Decrease","No Change"))</f>
        <v>Increase</v>
      </c>
      <c r="I3">
        <f t="shared" ref="I3:I66" si="0">B3-D3</f>
        <v>-7</v>
      </c>
    </row>
    <row r="4" spans="1:13" x14ac:dyDescent="0.3">
      <c r="A4" s="2">
        <f>[1]HHS_Unaccompanied_Alien_Childre!G4</f>
        <v>44949</v>
      </c>
      <c r="B4">
        <f>[2]HHS_Unaccompanied_Alien_Childre!B4</f>
        <v>32</v>
      </c>
      <c r="C4">
        <f>[3]HHS_Unaccompanied_Alien_Childre!C4</f>
        <v>50</v>
      </c>
      <c r="D4">
        <f>[2]HHS_Unaccompanied_Alien_Childre!D4</f>
        <v>39</v>
      </c>
      <c r="E4">
        <f>[2]HHS_Unaccompanied_Alien_Childre!E4</f>
        <v>7280</v>
      </c>
      <c r="F4">
        <f>[3]HHS_Unaccompanied_Alien_Childre!F4</f>
        <v>181</v>
      </c>
      <c r="G4">
        <f t="shared" ref="G4:G67" si="1">E4-E3</f>
        <v>158</v>
      </c>
      <c r="H4" t="str">
        <f t="shared" ref="H4:H67" si="2">IF(G4&gt;0,"Increase",IF(G4&lt;0,"Decrease","No Change"))</f>
        <v>Increase</v>
      </c>
      <c r="I4">
        <f t="shared" si="0"/>
        <v>-7</v>
      </c>
    </row>
    <row r="5" spans="1:13" x14ac:dyDescent="0.3">
      <c r="A5" s="2">
        <f>[1]HHS_Unaccompanied_Alien_Childre!G5</f>
        <v>44950</v>
      </c>
      <c r="B5">
        <f>[2]HHS_Unaccompanied_Alien_Childre!B5</f>
        <v>47</v>
      </c>
      <c r="C5">
        <f>[3]HHS_Unaccompanied_Alien_Childre!C5</f>
        <v>42</v>
      </c>
      <c r="D5">
        <f>[2]HHS_Unaccompanied_Alien_Childre!D5</f>
        <v>47</v>
      </c>
      <c r="E5">
        <f>[2]HHS_Unaccompanied_Alien_Childre!E5</f>
        <v>7433</v>
      </c>
      <c r="F5">
        <f>[3]HHS_Unaccompanied_Alien_Childre!F5</f>
        <v>175</v>
      </c>
      <c r="G5">
        <f t="shared" si="1"/>
        <v>153</v>
      </c>
      <c r="H5" t="str">
        <f t="shared" si="2"/>
        <v>Increase</v>
      </c>
      <c r="I5">
        <f t="shared" si="0"/>
        <v>0</v>
      </c>
    </row>
    <row r="6" spans="1:13" x14ac:dyDescent="0.3">
      <c r="A6" s="2">
        <f>[1]HHS_Unaccompanied_Alien_Childre!G6</f>
        <v>44951</v>
      </c>
      <c r="B6">
        <f>[2]HHS_Unaccompanied_Alien_Childre!B6</f>
        <v>20</v>
      </c>
      <c r="C6">
        <f>[3]HHS_Unaccompanied_Alien_Childre!C6</f>
        <v>22</v>
      </c>
      <c r="D6">
        <f>[2]HHS_Unaccompanied_Alien_Childre!D6</f>
        <v>41</v>
      </c>
      <c r="E6">
        <f>[2]HHS_Unaccompanied_Alien_Childre!E6</f>
        <v>7538</v>
      </c>
      <c r="F6">
        <f>[3]HHS_Unaccompanied_Alien_Childre!F6</f>
        <v>180</v>
      </c>
      <c r="G6">
        <f t="shared" si="1"/>
        <v>105</v>
      </c>
      <c r="H6" t="str">
        <f t="shared" si="2"/>
        <v>Increase</v>
      </c>
      <c r="I6">
        <f t="shared" si="0"/>
        <v>-21</v>
      </c>
    </row>
    <row r="7" spans="1:13" x14ac:dyDescent="0.3">
      <c r="A7" s="2">
        <f>[1]HHS_Unaccompanied_Alien_Childre!G7</f>
        <v>44955</v>
      </c>
      <c r="B7">
        <f>[2]HHS_Unaccompanied_Alien_Childre!B7</f>
        <v>23</v>
      </c>
      <c r="C7">
        <f>[3]HHS_Unaccompanied_Alien_Childre!C7</f>
        <v>45</v>
      </c>
      <c r="D7">
        <f>[2]HHS_Unaccompanied_Alien_Childre!D7</f>
        <v>11</v>
      </c>
      <c r="E7">
        <f>[2]HHS_Unaccompanied_Alien_Childre!E7</f>
        <v>7472</v>
      </c>
      <c r="F7">
        <f>[3]HHS_Unaccompanied_Alien_Childre!F7</f>
        <v>303</v>
      </c>
      <c r="G7">
        <f t="shared" si="1"/>
        <v>-66</v>
      </c>
      <c r="H7" t="str">
        <f t="shared" si="2"/>
        <v>Decrease</v>
      </c>
      <c r="I7">
        <f t="shared" si="0"/>
        <v>12</v>
      </c>
    </row>
    <row r="8" spans="1:13" x14ac:dyDescent="0.3">
      <c r="A8" s="2">
        <f>[1]HHS_Unaccompanied_Alien_Childre!G8</f>
        <v>44956</v>
      </c>
      <c r="B8">
        <f>[2]HHS_Unaccompanied_Alien_Childre!B8</f>
        <v>34</v>
      </c>
      <c r="C8">
        <f>[3]HHS_Unaccompanied_Alien_Childre!C8</f>
        <v>54</v>
      </c>
      <c r="D8">
        <f>[2]HHS_Unaccompanied_Alien_Childre!D8</f>
        <v>29</v>
      </c>
      <c r="E8">
        <f>[2]HHS_Unaccompanied_Alien_Childre!E8</f>
        <v>7743</v>
      </c>
      <c r="F8">
        <f>[3]HHS_Unaccompanied_Alien_Childre!F8</f>
        <v>196</v>
      </c>
      <c r="G8">
        <f t="shared" si="1"/>
        <v>271</v>
      </c>
      <c r="H8" t="str">
        <f t="shared" si="2"/>
        <v>Increase</v>
      </c>
      <c r="I8">
        <f t="shared" si="0"/>
        <v>5</v>
      </c>
    </row>
    <row r="9" spans="1:13" x14ac:dyDescent="0.3">
      <c r="A9" s="2">
        <f>[1]HHS_Unaccompanied_Alien_Childre!G9</f>
        <v>44957</v>
      </c>
      <c r="B9">
        <f>[2]HHS_Unaccompanied_Alien_Childre!B9</f>
        <v>26</v>
      </c>
      <c r="C9">
        <f>[3]HHS_Unaccompanied_Alien_Childre!C9</f>
        <v>36</v>
      </c>
      <c r="D9">
        <f>[2]HHS_Unaccompanied_Alien_Childre!D9</f>
        <v>36</v>
      </c>
      <c r="E9">
        <f>[2]HHS_Unaccompanied_Alien_Childre!E9</f>
        <v>7803</v>
      </c>
      <c r="F9">
        <f>[3]HHS_Unaccompanied_Alien_Childre!F9</f>
        <v>158</v>
      </c>
      <c r="G9">
        <f t="shared" si="1"/>
        <v>60</v>
      </c>
      <c r="H9" t="str">
        <f t="shared" si="2"/>
        <v>Increase</v>
      </c>
      <c r="I9">
        <f t="shared" si="0"/>
        <v>-10</v>
      </c>
    </row>
    <row r="10" spans="1:13" x14ac:dyDescent="0.3">
      <c r="A10" s="2">
        <f>[1]HHS_Unaccompanied_Alien_Childre!G10</f>
        <v>44958</v>
      </c>
      <c r="B10">
        <f>[2]HHS_Unaccompanied_Alien_Childre!B10</f>
        <v>25</v>
      </c>
      <c r="C10">
        <f>[3]HHS_Unaccompanied_Alien_Childre!C10</f>
        <v>32</v>
      </c>
      <c r="D10">
        <f>[2]HHS_Unaccompanied_Alien_Childre!D10</f>
        <v>27</v>
      </c>
      <c r="E10">
        <f>[2]HHS_Unaccompanied_Alien_Childre!E10</f>
        <v>7903</v>
      </c>
      <c r="F10">
        <f>[3]HHS_Unaccompanied_Alien_Childre!F10</f>
        <v>231</v>
      </c>
      <c r="G10">
        <f t="shared" si="1"/>
        <v>100</v>
      </c>
      <c r="H10" t="str">
        <f t="shared" si="2"/>
        <v>Increase</v>
      </c>
      <c r="I10">
        <f t="shared" si="0"/>
        <v>-2</v>
      </c>
    </row>
    <row r="11" spans="1:13" x14ac:dyDescent="0.3">
      <c r="A11" s="2">
        <f>[1]HHS_Unaccompanied_Alien_Childre!G11</f>
        <v>44959</v>
      </c>
      <c r="B11">
        <f>[2]HHS_Unaccompanied_Alien_Childre!B11</f>
        <v>15</v>
      </c>
      <c r="C11">
        <f>[3]HHS_Unaccompanied_Alien_Childre!C11</f>
        <v>13</v>
      </c>
      <c r="D11">
        <f>[2]HHS_Unaccompanied_Alien_Childre!D11</f>
        <v>23</v>
      </c>
      <c r="E11">
        <f>[2]HHS_Unaccompanied_Alien_Childre!E11</f>
        <v>7879</v>
      </c>
      <c r="F11">
        <f>[3]HHS_Unaccompanied_Alien_Childre!F11</f>
        <v>298</v>
      </c>
      <c r="G11">
        <f t="shared" si="1"/>
        <v>-24</v>
      </c>
      <c r="H11" t="str">
        <f t="shared" si="2"/>
        <v>Decrease</v>
      </c>
      <c r="I11">
        <f t="shared" si="0"/>
        <v>-8</v>
      </c>
    </row>
    <row r="12" spans="1:13" x14ac:dyDescent="0.3">
      <c r="A12" s="2">
        <f>[1]HHS_Unaccompanied_Alien_Childre!G12</f>
        <v>44962</v>
      </c>
      <c r="B12">
        <f>[2]HHS_Unaccompanied_Alien_Childre!B12</f>
        <v>16</v>
      </c>
      <c r="C12">
        <f>[3]HHS_Unaccompanied_Alien_Childre!C12</f>
        <v>18</v>
      </c>
      <c r="D12">
        <f>[2]HHS_Unaccompanied_Alien_Childre!D12</f>
        <v>15</v>
      </c>
      <c r="E12">
        <f>[2]HHS_Unaccompanied_Alien_Childre!E12</f>
        <v>7586</v>
      </c>
      <c r="F12">
        <f>[3]HHS_Unaccompanied_Alien_Childre!F12</f>
        <v>342</v>
      </c>
      <c r="G12">
        <f t="shared" si="1"/>
        <v>-293</v>
      </c>
      <c r="H12" t="str">
        <f t="shared" si="2"/>
        <v>Decrease</v>
      </c>
      <c r="I12">
        <f t="shared" si="0"/>
        <v>1</v>
      </c>
    </row>
    <row r="13" spans="1:13" x14ac:dyDescent="0.3">
      <c r="A13" s="2">
        <f>[1]HHS_Unaccompanied_Alien_Childre!G13</f>
        <v>44963</v>
      </c>
      <c r="B13">
        <f>[2]HHS_Unaccompanied_Alien_Childre!B13</f>
        <v>11</v>
      </c>
      <c r="C13">
        <f>[3]HHS_Unaccompanied_Alien_Childre!C13</f>
        <v>22</v>
      </c>
      <c r="D13">
        <f>[2]HHS_Unaccompanied_Alien_Childre!D13</f>
        <v>12</v>
      </c>
      <c r="E13">
        <f>[2]HHS_Unaccompanied_Alien_Childre!E13</f>
        <v>7720</v>
      </c>
      <c r="F13">
        <f>[3]HHS_Unaccompanied_Alien_Childre!F13</f>
        <v>196</v>
      </c>
      <c r="G13">
        <f t="shared" si="1"/>
        <v>134</v>
      </c>
      <c r="H13" t="str">
        <f t="shared" si="2"/>
        <v>Increase</v>
      </c>
      <c r="I13">
        <f t="shared" si="0"/>
        <v>-1</v>
      </c>
    </row>
    <row r="14" spans="1:13" x14ac:dyDescent="0.3">
      <c r="A14" s="2">
        <f>[1]HHS_Unaccompanied_Alien_Childre!G14</f>
        <v>44964</v>
      </c>
      <c r="B14">
        <f>[2]HHS_Unaccompanied_Alien_Childre!B14</f>
        <v>16</v>
      </c>
      <c r="C14">
        <f>[3]HHS_Unaccompanied_Alien_Childre!C14</f>
        <v>20</v>
      </c>
      <c r="D14">
        <f>[2]HHS_Unaccompanied_Alien_Childre!D14</f>
        <v>20</v>
      </c>
      <c r="E14">
        <f>[2]HHS_Unaccompanied_Alien_Childre!E14</f>
        <v>7855</v>
      </c>
      <c r="F14">
        <f>[3]HHS_Unaccompanied_Alien_Childre!F14</f>
        <v>200</v>
      </c>
      <c r="G14">
        <f t="shared" si="1"/>
        <v>135</v>
      </c>
      <c r="H14" t="str">
        <f t="shared" si="2"/>
        <v>Increase</v>
      </c>
      <c r="I14">
        <f t="shared" si="0"/>
        <v>-4</v>
      </c>
    </row>
    <row r="15" spans="1:13" x14ac:dyDescent="0.3">
      <c r="A15" s="2">
        <f>[1]HHS_Unaccompanied_Alien_Childre!G15</f>
        <v>44965</v>
      </c>
      <c r="B15">
        <f>[2]HHS_Unaccompanied_Alien_Childre!B15</f>
        <v>93</v>
      </c>
      <c r="C15">
        <f>[3]HHS_Unaccompanied_Alien_Childre!C15</f>
        <v>196</v>
      </c>
      <c r="D15">
        <f>[2]HHS_Unaccompanied_Alien_Childre!D15</f>
        <v>169</v>
      </c>
      <c r="E15">
        <f>[2]HHS_Unaccompanied_Alien_Childre!E15</f>
        <v>7915</v>
      </c>
      <c r="F15">
        <f>[3]HHS_Unaccompanied_Alien_Childre!F15</f>
        <v>317</v>
      </c>
      <c r="G15">
        <f t="shared" si="1"/>
        <v>60</v>
      </c>
      <c r="H15" t="str">
        <f t="shared" si="2"/>
        <v>Increase</v>
      </c>
      <c r="I15">
        <f t="shared" si="0"/>
        <v>-76</v>
      </c>
    </row>
    <row r="16" spans="1:13" x14ac:dyDescent="0.3">
      <c r="A16" s="2">
        <f>[1]HHS_Unaccompanied_Alien_Childre!G16</f>
        <v>44966</v>
      </c>
      <c r="B16">
        <f>[2]HHS_Unaccompanied_Alien_Childre!B16</f>
        <v>124</v>
      </c>
      <c r="C16">
        <f>[3]HHS_Unaccompanied_Alien_Childre!C16</f>
        <v>234</v>
      </c>
      <c r="D16">
        <f>[2]HHS_Unaccompanied_Alien_Childre!D16</f>
        <v>161</v>
      </c>
      <c r="E16">
        <f>[2]HHS_Unaccompanied_Alien_Childre!E16</f>
        <v>7908</v>
      </c>
      <c r="F16">
        <f>[3]HHS_Unaccompanied_Alien_Childre!F16</f>
        <v>353</v>
      </c>
      <c r="G16">
        <f t="shared" si="1"/>
        <v>-7</v>
      </c>
      <c r="H16" t="str">
        <f t="shared" si="2"/>
        <v>Decrease</v>
      </c>
      <c r="I16">
        <f t="shared" si="0"/>
        <v>-37</v>
      </c>
      <c r="J16">
        <f>E16</f>
        <v>7908</v>
      </c>
      <c r="K16">
        <f>E9</f>
        <v>7803</v>
      </c>
      <c r="L16">
        <f>E2</f>
        <v>6566</v>
      </c>
      <c r="M16">
        <f>AVERAGE(E9,E15)</f>
        <v>7859</v>
      </c>
    </row>
    <row r="17" spans="1:13" x14ac:dyDescent="0.3">
      <c r="A17" s="2">
        <f>[1]HHS_Unaccompanied_Alien_Childre!G17</f>
        <v>44969</v>
      </c>
      <c r="B17">
        <f>[2]HHS_Unaccompanied_Alien_Childre!B17</f>
        <v>92</v>
      </c>
      <c r="C17">
        <f>[3]HHS_Unaccompanied_Alien_Childre!C17</f>
        <v>203</v>
      </c>
      <c r="D17">
        <f>[2]HHS_Unaccompanied_Alien_Childre!D17</f>
        <v>173</v>
      </c>
      <c r="E17">
        <f>[2]HHS_Unaccompanied_Alien_Childre!E17</f>
        <v>7434</v>
      </c>
      <c r="F17">
        <f>[3]HHS_Unaccompanied_Alien_Childre!F17</f>
        <v>317</v>
      </c>
      <c r="G17">
        <f t="shared" si="1"/>
        <v>-474</v>
      </c>
      <c r="H17" t="str">
        <f t="shared" si="2"/>
        <v>Decrease</v>
      </c>
      <c r="I17">
        <f t="shared" si="0"/>
        <v>-81</v>
      </c>
      <c r="J17">
        <f t="shared" ref="J17:J80" si="3">E17</f>
        <v>7434</v>
      </c>
      <c r="K17">
        <f t="shared" ref="K17:K80" si="4">E10</f>
        <v>7903</v>
      </c>
      <c r="L17">
        <f t="shared" ref="L17:L80" si="5">E3</f>
        <v>7122</v>
      </c>
      <c r="M17">
        <f t="shared" ref="M17:M80" si="6">AVERAGE(E10,E16)</f>
        <v>7905.5</v>
      </c>
    </row>
    <row r="18" spans="1:13" x14ac:dyDescent="0.3">
      <c r="A18" s="2">
        <f>[1]HHS_Unaccompanied_Alien_Childre!G18</f>
        <v>44970</v>
      </c>
      <c r="B18">
        <f>[2]HHS_Unaccompanied_Alien_Childre!B18</f>
        <v>186</v>
      </c>
      <c r="C18">
        <f>[3]HHS_Unaccompanied_Alien_Childre!C18</f>
        <v>259</v>
      </c>
      <c r="D18">
        <f>[2]HHS_Unaccompanied_Alien_Childre!D18</f>
        <v>172</v>
      </c>
      <c r="E18">
        <f>[2]HHS_Unaccompanied_Alien_Childre!E18</f>
        <v>7483</v>
      </c>
      <c r="F18">
        <f>[3]HHS_Unaccompanied_Alien_Childre!F18</f>
        <v>244</v>
      </c>
      <c r="G18">
        <f t="shared" si="1"/>
        <v>49</v>
      </c>
      <c r="H18" t="str">
        <f t="shared" si="2"/>
        <v>Increase</v>
      </c>
      <c r="I18">
        <f t="shared" si="0"/>
        <v>14</v>
      </c>
      <c r="J18">
        <f t="shared" si="3"/>
        <v>7483</v>
      </c>
      <c r="K18">
        <f t="shared" si="4"/>
        <v>7879</v>
      </c>
      <c r="L18">
        <f t="shared" si="5"/>
        <v>7280</v>
      </c>
      <c r="M18">
        <f t="shared" si="6"/>
        <v>7656.5</v>
      </c>
    </row>
    <row r="19" spans="1:13" x14ac:dyDescent="0.3">
      <c r="A19" s="2">
        <f>[1]HHS_Unaccompanied_Alien_Childre!G19</f>
        <v>44971</v>
      </c>
      <c r="B19">
        <f>[2]HHS_Unaccompanied_Alien_Childre!B19</f>
        <v>154</v>
      </c>
      <c r="C19">
        <f>[3]HHS_Unaccompanied_Alien_Childre!C19</f>
        <v>225</v>
      </c>
      <c r="D19">
        <f>[2]HHS_Unaccompanied_Alien_Childre!D19</f>
        <v>220</v>
      </c>
      <c r="E19">
        <f>[2]HHS_Unaccompanied_Alien_Childre!E19</f>
        <v>7794</v>
      </c>
      <c r="F19">
        <f>[3]HHS_Unaccompanied_Alien_Childre!F19</f>
        <v>223</v>
      </c>
      <c r="G19">
        <f t="shared" si="1"/>
        <v>311</v>
      </c>
      <c r="H19" t="str">
        <f t="shared" si="2"/>
        <v>Increase</v>
      </c>
      <c r="I19">
        <f t="shared" si="0"/>
        <v>-66</v>
      </c>
      <c r="J19">
        <f t="shared" si="3"/>
        <v>7794</v>
      </c>
      <c r="K19">
        <f t="shared" si="4"/>
        <v>7586</v>
      </c>
      <c r="L19">
        <f t="shared" si="5"/>
        <v>7433</v>
      </c>
      <c r="M19">
        <f t="shared" si="6"/>
        <v>7534.5</v>
      </c>
    </row>
    <row r="20" spans="1:13" x14ac:dyDescent="0.3">
      <c r="A20" s="2">
        <f>[1]HHS_Unaccompanied_Alien_Childre!G20</f>
        <v>44972</v>
      </c>
      <c r="B20">
        <f>[2]HHS_Unaccompanied_Alien_Childre!B20</f>
        <v>91</v>
      </c>
      <c r="C20">
        <f>[3]HHS_Unaccompanied_Alien_Childre!C20</f>
        <v>199</v>
      </c>
      <c r="D20">
        <f>[2]HHS_Unaccompanied_Alien_Childre!D20</f>
        <v>172</v>
      </c>
      <c r="E20">
        <f>[2]HHS_Unaccompanied_Alien_Childre!E20</f>
        <v>7869</v>
      </c>
      <c r="F20">
        <f>[3]HHS_Unaccompanied_Alien_Childre!F20</f>
        <v>290</v>
      </c>
      <c r="G20">
        <f t="shared" si="1"/>
        <v>75</v>
      </c>
      <c r="H20" t="str">
        <f t="shared" si="2"/>
        <v>Increase</v>
      </c>
      <c r="I20">
        <f t="shared" si="0"/>
        <v>-81</v>
      </c>
      <c r="J20">
        <f t="shared" si="3"/>
        <v>7869</v>
      </c>
      <c r="K20">
        <f t="shared" si="4"/>
        <v>7720</v>
      </c>
      <c r="L20">
        <f t="shared" si="5"/>
        <v>7538</v>
      </c>
      <c r="M20">
        <f t="shared" si="6"/>
        <v>7757</v>
      </c>
    </row>
    <row r="21" spans="1:13" x14ac:dyDescent="0.3">
      <c r="A21" s="2">
        <f>[1]HHS_Unaccompanied_Alien_Childre!G21</f>
        <v>44973</v>
      </c>
      <c r="B21">
        <f>[2]HHS_Unaccompanied_Alien_Childre!B21</f>
        <v>81</v>
      </c>
      <c r="C21">
        <f>[3]HHS_Unaccompanied_Alien_Childre!C21</f>
        <v>213</v>
      </c>
      <c r="D21">
        <f>[2]HHS_Unaccompanied_Alien_Childre!D21</f>
        <v>153</v>
      </c>
      <c r="E21">
        <f>[2]HHS_Unaccompanied_Alien_Childre!E21</f>
        <v>7793</v>
      </c>
      <c r="F21">
        <f>[3]HHS_Unaccompanied_Alien_Childre!F21</f>
        <v>361</v>
      </c>
      <c r="G21">
        <f t="shared" si="1"/>
        <v>-76</v>
      </c>
      <c r="H21" t="str">
        <f t="shared" si="2"/>
        <v>Decrease</v>
      </c>
      <c r="I21">
        <f t="shared" si="0"/>
        <v>-72</v>
      </c>
      <c r="J21">
        <f t="shared" si="3"/>
        <v>7793</v>
      </c>
      <c r="K21">
        <f t="shared" si="4"/>
        <v>7855</v>
      </c>
      <c r="L21">
        <f t="shared" si="5"/>
        <v>7472</v>
      </c>
      <c r="M21">
        <f t="shared" si="6"/>
        <v>7862</v>
      </c>
    </row>
    <row r="22" spans="1:13" x14ac:dyDescent="0.3">
      <c r="A22" s="2">
        <f>[1]HHS_Unaccompanied_Alien_Childre!G22</f>
        <v>44977</v>
      </c>
      <c r="B22">
        <f>[2]HHS_Unaccompanied_Alien_Childre!B22</f>
        <v>209</v>
      </c>
      <c r="C22">
        <f>[3]HHS_Unaccompanied_Alien_Childre!C22</f>
        <v>285</v>
      </c>
      <c r="D22">
        <f>[2]HHS_Unaccompanied_Alien_Childre!D22</f>
        <v>184</v>
      </c>
      <c r="E22">
        <f>[2]HHS_Unaccompanied_Alien_Childre!E22</f>
        <v>7817</v>
      </c>
      <c r="F22">
        <f>[3]HHS_Unaccompanied_Alien_Childre!F22</f>
        <v>209</v>
      </c>
      <c r="G22">
        <f t="shared" si="1"/>
        <v>24</v>
      </c>
      <c r="H22" t="str">
        <f t="shared" si="2"/>
        <v>Increase</v>
      </c>
      <c r="I22">
        <f t="shared" si="0"/>
        <v>25</v>
      </c>
      <c r="J22">
        <f t="shared" si="3"/>
        <v>7817</v>
      </c>
      <c r="K22">
        <f t="shared" si="4"/>
        <v>7915</v>
      </c>
      <c r="L22">
        <f t="shared" si="5"/>
        <v>7743</v>
      </c>
      <c r="M22">
        <f t="shared" si="6"/>
        <v>7854</v>
      </c>
    </row>
    <row r="23" spans="1:13" x14ac:dyDescent="0.3">
      <c r="A23" s="2">
        <f>[1]HHS_Unaccompanied_Alien_Childre!G23</f>
        <v>44978</v>
      </c>
      <c r="B23">
        <f>[2]HHS_Unaccompanied_Alien_Childre!B23</f>
        <v>184</v>
      </c>
      <c r="C23">
        <f>[3]HHS_Unaccompanied_Alien_Childre!C23</f>
        <v>314</v>
      </c>
      <c r="D23">
        <f>[2]HHS_Unaccompanied_Alien_Childre!D23</f>
        <v>217</v>
      </c>
      <c r="E23">
        <f>[2]HHS_Unaccompanied_Alien_Childre!E23</f>
        <v>7967</v>
      </c>
      <c r="F23">
        <f>[3]HHS_Unaccompanied_Alien_Childre!F23</f>
        <v>213</v>
      </c>
      <c r="G23">
        <f t="shared" si="1"/>
        <v>150</v>
      </c>
      <c r="H23" t="str">
        <f t="shared" si="2"/>
        <v>Increase</v>
      </c>
      <c r="I23">
        <f t="shared" si="0"/>
        <v>-33</v>
      </c>
      <c r="J23">
        <f t="shared" si="3"/>
        <v>7967</v>
      </c>
      <c r="K23">
        <f t="shared" si="4"/>
        <v>7908</v>
      </c>
      <c r="L23">
        <f t="shared" si="5"/>
        <v>7803</v>
      </c>
      <c r="M23">
        <f t="shared" si="6"/>
        <v>7862.5</v>
      </c>
    </row>
    <row r="24" spans="1:13" x14ac:dyDescent="0.3">
      <c r="A24" s="2">
        <f>[1]HHS_Unaccompanied_Alien_Childre!G24</f>
        <v>44979</v>
      </c>
      <c r="B24">
        <f>[2]HHS_Unaccompanied_Alien_Childre!B24</f>
        <v>107</v>
      </c>
      <c r="C24">
        <f>[3]HHS_Unaccompanied_Alien_Childre!C24</f>
        <v>215</v>
      </c>
      <c r="D24">
        <f>[2]HHS_Unaccompanied_Alien_Childre!D24</f>
        <v>230</v>
      </c>
      <c r="E24">
        <f>[2]HHS_Unaccompanied_Alien_Childre!E24</f>
        <v>7978</v>
      </c>
      <c r="F24">
        <f>[3]HHS_Unaccompanied_Alien_Childre!F24</f>
        <v>232</v>
      </c>
      <c r="G24">
        <f t="shared" si="1"/>
        <v>11</v>
      </c>
      <c r="H24" t="str">
        <f t="shared" si="2"/>
        <v>Increase</v>
      </c>
      <c r="I24">
        <f t="shared" si="0"/>
        <v>-123</v>
      </c>
      <c r="J24">
        <f t="shared" si="3"/>
        <v>7978</v>
      </c>
      <c r="K24">
        <f t="shared" si="4"/>
        <v>7434</v>
      </c>
      <c r="L24">
        <f t="shared" si="5"/>
        <v>7903</v>
      </c>
      <c r="M24">
        <f t="shared" si="6"/>
        <v>7700.5</v>
      </c>
    </row>
    <row r="25" spans="1:13" x14ac:dyDescent="0.3">
      <c r="A25" s="2">
        <f>[1]HHS_Unaccompanied_Alien_Childre!G25</f>
        <v>44980</v>
      </c>
      <c r="B25">
        <f>[2]HHS_Unaccompanied_Alien_Childre!B25</f>
        <v>101</v>
      </c>
      <c r="C25">
        <f>[3]HHS_Unaccompanied_Alien_Childre!C25</f>
        <v>162</v>
      </c>
      <c r="D25">
        <f>[2]HHS_Unaccompanied_Alien_Childre!D25</f>
        <v>178</v>
      </c>
      <c r="E25">
        <f>[2]HHS_Unaccompanied_Alien_Childre!E25</f>
        <v>7914</v>
      </c>
      <c r="F25">
        <f>[3]HHS_Unaccompanied_Alien_Childre!F25</f>
        <v>386</v>
      </c>
      <c r="G25">
        <f t="shared" si="1"/>
        <v>-64</v>
      </c>
      <c r="H25" t="str">
        <f t="shared" si="2"/>
        <v>Decrease</v>
      </c>
      <c r="I25">
        <f t="shared" si="0"/>
        <v>-77</v>
      </c>
      <c r="J25">
        <f t="shared" si="3"/>
        <v>7914</v>
      </c>
      <c r="K25">
        <f t="shared" si="4"/>
        <v>7483</v>
      </c>
      <c r="L25">
        <f t="shared" si="5"/>
        <v>7879</v>
      </c>
      <c r="M25">
        <f t="shared" si="6"/>
        <v>7730.5</v>
      </c>
    </row>
    <row r="26" spans="1:13" x14ac:dyDescent="0.3">
      <c r="A26" s="2">
        <f>[1]HHS_Unaccompanied_Alien_Childre!G26</f>
        <v>44983</v>
      </c>
      <c r="B26">
        <f>[2]HHS_Unaccompanied_Alien_Childre!B26</f>
        <v>99</v>
      </c>
      <c r="C26">
        <f>[3]HHS_Unaccompanied_Alien_Childre!C26</f>
        <v>190</v>
      </c>
      <c r="D26">
        <f>[2]HHS_Unaccompanied_Alien_Childre!D26</f>
        <v>176</v>
      </c>
      <c r="E26">
        <f>[2]HHS_Unaccompanied_Alien_Childre!E26</f>
        <v>7609</v>
      </c>
      <c r="F26">
        <f>[3]HHS_Unaccompanied_Alien_Childre!F26</f>
        <v>323</v>
      </c>
      <c r="G26">
        <f t="shared" si="1"/>
        <v>-305</v>
      </c>
      <c r="H26" t="str">
        <f t="shared" si="2"/>
        <v>Decrease</v>
      </c>
      <c r="I26">
        <f t="shared" si="0"/>
        <v>-77</v>
      </c>
      <c r="J26">
        <f t="shared" si="3"/>
        <v>7609</v>
      </c>
      <c r="K26">
        <f t="shared" si="4"/>
        <v>7794</v>
      </c>
      <c r="L26">
        <f t="shared" si="5"/>
        <v>7586</v>
      </c>
      <c r="M26">
        <f t="shared" si="6"/>
        <v>7854</v>
      </c>
    </row>
    <row r="27" spans="1:13" x14ac:dyDescent="0.3">
      <c r="A27" s="2">
        <f>[1]HHS_Unaccompanied_Alien_Childre!G27</f>
        <v>44984</v>
      </c>
      <c r="B27">
        <f>[2]HHS_Unaccompanied_Alien_Childre!B27</f>
        <v>167</v>
      </c>
      <c r="C27">
        <f>[3]HHS_Unaccompanied_Alien_Childre!C27</f>
        <v>239</v>
      </c>
      <c r="D27">
        <f>[2]HHS_Unaccompanied_Alien_Childre!D27</f>
        <v>166</v>
      </c>
      <c r="E27">
        <f>[2]HHS_Unaccompanied_Alien_Childre!E27</f>
        <v>7800</v>
      </c>
      <c r="F27">
        <f>[3]HHS_Unaccompanied_Alien_Childre!F27</f>
        <v>248</v>
      </c>
      <c r="G27">
        <f t="shared" si="1"/>
        <v>191</v>
      </c>
      <c r="H27" t="str">
        <f t="shared" si="2"/>
        <v>Increase</v>
      </c>
      <c r="I27">
        <f t="shared" si="0"/>
        <v>1</v>
      </c>
      <c r="J27">
        <f t="shared" si="3"/>
        <v>7800</v>
      </c>
      <c r="K27">
        <f t="shared" si="4"/>
        <v>7869</v>
      </c>
      <c r="L27">
        <f t="shared" si="5"/>
        <v>7720</v>
      </c>
      <c r="M27">
        <f t="shared" si="6"/>
        <v>7739</v>
      </c>
    </row>
    <row r="28" spans="1:13" x14ac:dyDescent="0.3">
      <c r="A28" s="2">
        <f>[1]HHS_Unaccompanied_Alien_Childre!G28</f>
        <v>44985</v>
      </c>
      <c r="B28">
        <f>[2]HHS_Unaccompanied_Alien_Childre!B28</f>
        <v>115</v>
      </c>
      <c r="C28">
        <f>[3]HHS_Unaccompanied_Alien_Childre!C28</f>
        <v>216</v>
      </c>
      <c r="D28">
        <f>[2]HHS_Unaccompanied_Alien_Childre!D28</f>
        <v>169</v>
      </c>
      <c r="E28">
        <f>[2]HHS_Unaccompanied_Alien_Childre!E28</f>
        <v>7896</v>
      </c>
      <c r="F28">
        <f>[3]HHS_Unaccompanied_Alien_Childre!F28</f>
        <v>200</v>
      </c>
      <c r="G28">
        <f t="shared" si="1"/>
        <v>96</v>
      </c>
      <c r="H28" t="str">
        <f t="shared" si="2"/>
        <v>Increase</v>
      </c>
      <c r="I28">
        <f t="shared" si="0"/>
        <v>-54</v>
      </c>
      <c r="J28">
        <f t="shared" si="3"/>
        <v>7896</v>
      </c>
      <c r="K28">
        <f t="shared" si="4"/>
        <v>7793</v>
      </c>
      <c r="L28">
        <f t="shared" si="5"/>
        <v>7855</v>
      </c>
      <c r="M28">
        <f t="shared" si="6"/>
        <v>7796.5</v>
      </c>
    </row>
    <row r="29" spans="1:13" x14ac:dyDescent="0.3">
      <c r="A29" s="2">
        <f>[1]HHS_Unaccompanied_Alien_Childre!G29</f>
        <v>44986</v>
      </c>
      <c r="B29">
        <f>[2]HHS_Unaccompanied_Alien_Childre!B29</f>
        <v>84</v>
      </c>
      <c r="C29">
        <f>[3]HHS_Unaccompanied_Alien_Childre!C29</f>
        <v>158</v>
      </c>
      <c r="D29">
        <f>[2]HHS_Unaccompanied_Alien_Childre!D29</f>
        <v>193</v>
      </c>
      <c r="E29">
        <f>[2]HHS_Unaccompanied_Alien_Childre!E29</f>
        <v>7930</v>
      </c>
      <c r="F29">
        <f>[3]HHS_Unaccompanied_Alien_Childre!F29</f>
        <v>307</v>
      </c>
      <c r="G29">
        <f t="shared" si="1"/>
        <v>34</v>
      </c>
      <c r="H29" t="str">
        <f t="shared" si="2"/>
        <v>Increase</v>
      </c>
      <c r="I29">
        <f t="shared" si="0"/>
        <v>-109</v>
      </c>
      <c r="J29">
        <f t="shared" si="3"/>
        <v>7930</v>
      </c>
      <c r="K29">
        <f t="shared" si="4"/>
        <v>7817</v>
      </c>
      <c r="L29">
        <f t="shared" si="5"/>
        <v>7915</v>
      </c>
      <c r="M29">
        <f t="shared" si="6"/>
        <v>7856.5</v>
      </c>
    </row>
    <row r="30" spans="1:13" x14ac:dyDescent="0.3">
      <c r="A30" s="2">
        <f>[1]HHS_Unaccompanied_Alien_Childre!G30</f>
        <v>44987</v>
      </c>
      <c r="B30">
        <f>[2]HHS_Unaccompanied_Alien_Childre!B30</f>
        <v>130</v>
      </c>
      <c r="C30">
        <f>[3]HHS_Unaccompanied_Alien_Childre!C30</f>
        <v>227</v>
      </c>
      <c r="D30">
        <f>[2]HHS_Unaccompanied_Alien_Childre!D30</f>
        <v>192</v>
      </c>
      <c r="E30">
        <f>[2]HHS_Unaccompanied_Alien_Childre!E30</f>
        <v>7870</v>
      </c>
      <c r="F30">
        <f>[3]HHS_Unaccompanied_Alien_Childre!F30</f>
        <v>335</v>
      </c>
      <c r="G30">
        <f t="shared" si="1"/>
        <v>-60</v>
      </c>
      <c r="H30" t="str">
        <f t="shared" si="2"/>
        <v>Decrease</v>
      </c>
      <c r="I30">
        <f t="shared" si="0"/>
        <v>-62</v>
      </c>
      <c r="J30">
        <f t="shared" si="3"/>
        <v>7870</v>
      </c>
      <c r="K30">
        <f t="shared" si="4"/>
        <v>7967</v>
      </c>
      <c r="L30">
        <f t="shared" si="5"/>
        <v>7908</v>
      </c>
      <c r="M30">
        <f t="shared" si="6"/>
        <v>7948.5</v>
      </c>
    </row>
    <row r="31" spans="1:13" x14ac:dyDescent="0.3">
      <c r="A31" s="2">
        <f>[1]HHS_Unaccompanied_Alien_Childre!G31</f>
        <v>44992</v>
      </c>
      <c r="B31">
        <f>[2]HHS_Unaccompanied_Alien_Childre!B31</f>
        <v>88</v>
      </c>
      <c r="C31">
        <f>[3]HHS_Unaccompanied_Alien_Childre!C31</f>
        <v>214</v>
      </c>
      <c r="D31">
        <f>[2]HHS_Unaccompanied_Alien_Childre!D31</f>
        <v>160</v>
      </c>
      <c r="E31">
        <f>[2]HHS_Unaccompanied_Alien_Childre!E31</f>
        <v>7859</v>
      </c>
      <c r="F31">
        <f>[3]HHS_Unaccompanied_Alien_Childre!F31</f>
        <v>259</v>
      </c>
      <c r="G31">
        <f t="shared" si="1"/>
        <v>-11</v>
      </c>
      <c r="H31" t="str">
        <f t="shared" si="2"/>
        <v>Decrease</v>
      </c>
      <c r="I31">
        <f t="shared" si="0"/>
        <v>-72</v>
      </c>
      <c r="J31">
        <f t="shared" si="3"/>
        <v>7859</v>
      </c>
      <c r="K31">
        <f t="shared" si="4"/>
        <v>7978</v>
      </c>
      <c r="L31">
        <f t="shared" si="5"/>
        <v>7434</v>
      </c>
      <c r="M31">
        <f t="shared" si="6"/>
        <v>7924</v>
      </c>
    </row>
    <row r="32" spans="1:13" x14ac:dyDescent="0.3">
      <c r="A32" s="2">
        <f>[1]HHS_Unaccompanied_Alien_Childre!G32</f>
        <v>44993</v>
      </c>
      <c r="B32">
        <f>[2]HHS_Unaccompanied_Alien_Childre!B32</f>
        <v>113</v>
      </c>
      <c r="C32">
        <f>[3]HHS_Unaccompanied_Alien_Childre!C32</f>
        <v>208</v>
      </c>
      <c r="D32">
        <f>[2]HHS_Unaccompanied_Alien_Childre!D32</f>
        <v>159</v>
      </c>
      <c r="E32">
        <f>[2]HHS_Unaccompanied_Alien_Childre!E32</f>
        <v>7885</v>
      </c>
      <c r="F32">
        <f>[3]HHS_Unaccompanied_Alien_Childre!F32</f>
        <v>291</v>
      </c>
      <c r="G32">
        <f t="shared" si="1"/>
        <v>26</v>
      </c>
      <c r="H32" t="str">
        <f t="shared" si="2"/>
        <v>Increase</v>
      </c>
      <c r="I32">
        <f t="shared" si="0"/>
        <v>-46</v>
      </c>
      <c r="J32">
        <f t="shared" si="3"/>
        <v>7885</v>
      </c>
      <c r="K32">
        <f t="shared" si="4"/>
        <v>7914</v>
      </c>
      <c r="L32">
        <f t="shared" si="5"/>
        <v>7483</v>
      </c>
      <c r="M32">
        <f t="shared" si="6"/>
        <v>7886.5</v>
      </c>
    </row>
    <row r="33" spans="1:13" x14ac:dyDescent="0.3">
      <c r="A33" s="2">
        <f>[1]HHS_Unaccompanied_Alien_Childre!G33</f>
        <v>44994</v>
      </c>
      <c r="B33">
        <f>[2]HHS_Unaccompanied_Alien_Childre!B33</f>
        <v>174</v>
      </c>
      <c r="C33">
        <f>[3]HHS_Unaccompanied_Alien_Childre!C33</f>
        <v>285</v>
      </c>
      <c r="D33">
        <f>[2]HHS_Unaccompanied_Alien_Childre!D33</f>
        <v>150</v>
      </c>
      <c r="E33">
        <f>[2]HHS_Unaccompanied_Alien_Childre!E33</f>
        <v>7786</v>
      </c>
      <c r="F33">
        <f>[3]HHS_Unaccompanied_Alien_Childre!F33</f>
        <v>340</v>
      </c>
      <c r="G33">
        <f t="shared" si="1"/>
        <v>-99</v>
      </c>
      <c r="H33" t="str">
        <f t="shared" si="2"/>
        <v>Decrease</v>
      </c>
      <c r="I33">
        <f t="shared" si="0"/>
        <v>24</v>
      </c>
      <c r="J33">
        <f t="shared" si="3"/>
        <v>7786</v>
      </c>
      <c r="K33">
        <f t="shared" si="4"/>
        <v>7609</v>
      </c>
      <c r="L33">
        <f t="shared" si="5"/>
        <v>7794</v>
      </c>
      <c r="M33">
        <f t="shared" si="6"/>
        <v>7747</v>
      </c>
    </row>
    <row r="34" spans="1:13" x14ac:dyDescent="0.3">
      <c r="A34" s="2">
        <f>[1]HHS_Unaccompanied_Alien_Childre!G34</f>
        <v>44998</v>
      </c>
      <c r="B34">
        <f>[2]HHS_Unaccompanied_Alien_Childre!B34</f>
        <v>104</v>
      </c>
      <c r="C34">
        <f>[3]HHS_Unaccompanied_Alien_Childre!C34</f>
        <v>230</v>
      </c>
      <c r="D34">
        <f>[2]HHS_Unaccompanied_Alien_Childre!D34</f>
        <v>206</v>
      </c>
      <c r="E34">
        <f>[2]HHS_Unaccompanied_Alien_Childre!E34</f>
        <v>7567</v>
      </c>
      <c r="F34">
        <f>[3]HHS_Unaccompanied_Alien_Childre!F34</f>
        <v>249</v>
      </c>
      <c r="G34">
        <f t="shared" si="1"/>
        <v>-219</v>
      </c>
      <c r="H34" t="str">
        <f t="shared" si="2"/>
        <v>Decrease</v>
      </c>
      <c r="I34">
        <f t="shared" si="0"/>
        <v>-102</v>
      </c>
      <c r="J34">
        <f t="shared" si="3"/>
        <v>7567</v>
      </c>
      <c r="K34">
        <f t="shared" si="4"/>
        <v>7800</v>
      </c>
      <c r="L34">
        <f t="shared" si="5"/>
        <v>7869</v>
      </c>
      <c r="M34">
        <f t="shared" si="6"/>
        <v>7793</v>
      </c>
    </row>
    <row r="35" spans="1:13" x14ac:dyDescent="0.3">
      <c r="A35" s="2">
        <f>[1]HHS_Unaccompanied_Alien_Childre!G35</f>
        <v>44999</v>
      </c>
      <c r="B35">
        <f>[2]HHS_Unaccompanied_Alien_Childre!B35</f>
        <v>147</v>
      </c>
      <c r="C35">
        <f>[3]HHS_Unaccompanied_Alien_Childre!C35</f>
        <v>276</v>
      </c>
      <c r="D35">
        <f>[2]HHS_Unaccompanied_Alien_Childre!D35</f>
        <v>214</v>
      </c>
      <c r="E35">
        <f>[2]HHS_Unaccompanied_Alien_Childre!E35</f>
        <v>7810</v>
      </c>
      <c r="F35">
        <f>[3]HHS_Unaccompanied_Alien_Childre!F35</f>
        <v>181</v>
      </c>
      <c r="G35">
        <f t="shared" si="1"/>
        <v>243</v>
      </c>
      <c r="H35" t="str">
        <f t="shared" si="2"/>
        <v>Increase</v>
      </c>
      <c r="I35">
        <f t="shared" si="0"/>
        <v>-67</v>
      </c>
      <c r="J35">
        <f t="shared" si="3"/>
        <v>7810</v>
      </c>
      <c r="K35">
        <f t="shared" si="4"/>
        <v>7896</v>
      </c>
      <c r="L35">
        <f t="shared" si="5"/>
        <v>7793</v>
      </c>
      <c r="M35">
        <f t="shared" si="6"/>
        <v>7731.5</v>
      </c>
    </row>
    <row r="36" spans="1:13" x14ac:dyDescent="0.3">
      <c r="A36" s="2">
        <f>[1]HHS_Unaccompanied_Alien_Childre!G36</f>
        <v>45000</v>
      </c>
      <c r="B36">
        <f>[2]HHS_Unaccompanied_Alien_Childre!B36</f>
        <v>108</v>
      </c>
      <c r="C36">
        <f>[3]HHS_Unaccompanied_Alien_Childre!C36</f>
        <v>220</v>
      </c>
      <c r="D36">
        <f>[2]HHS_Unaccompanied_Alien_Childre!D36</f>
        <v>213</v>
      </c>
      <c r="E36">
        <f>[2]HHS_Unaccompanied_Alien_Childre!E36</f>
        <v>7915</v>
      </c>
      <c r="F36">
        <f>[3]HHS_Unaccompanied_Alien_Childre!F36</f>
        <v>286</v>
      </c>
      <c r="G36">
        <f t="shared" si="1"/>
        <v>105</v>
      </c>
      <c r="H36" t="str">
        <f t="shared" si="2"/>
        <v>Increase</v>
      </c>
      <c r="I36">
        <f t="shared" si="0"/>
        <v>-105</v>
      </c>
      <c r="J36">
        <f t="shared" si="3"/>
        <v>7915</v>
      </c>
      <c r="K36">
        <f t="shared" si="4"/>
        <v>7930</v>
      </c>
      <c r="L36">
        <f t="shared" si="5"/>
        <v>7817</v>
      </c>
      <c r="M36">
        <f t="shared" si="6"/>
        <v>7870</v>
      </c>
    </row>
    <row r="37" spans="1:13" x14ac:dyDescent="0.3">
      <c r="A37" s="2">
        <f>[1]HHS_Unaccompanied_Alien_Childre!G37</f>
        <v>45001</v>
      </c>
      <c r="B37">
        <f>[2]HHS_Unaccompanied_Alien_Childre!B37</f>
        <v>180</v>
      </c>
      <c r="C37">
        <f>[3]HHS_Unaccompanied_Alien_Childre!C37</f>
        <v>280</v>
      </c>
      <c r="D37">
        <f>[2]HHS_Unaccompanied_Alien_Childre!D37</f>
        <v>146</v>
      </c>
      <c r="E37">
        <f>[2]HHS_Unaccompanied_Alien_Childre!E37</f>
        <v>7989</v>
      </c>
      <c r="F37">
        <f>[3]HHS_Unaccompanied_Alien_Childre!F37</f>
        <v>308</v>
      </c>
      <c r="G37">
        <f t="shared" si="1"/>
        <v>74</v>
      </c>
      <c r="H37" t="str">
        <f t="shared" si="2"/>
        <v>Increase</v>
      </c>
      <c r="I37">
        <f t="shared" si="0"/>
        <v>34</v>
      </c>
      <c r="J37">
        <f t="shared" si="3"/>
        <v>7989</v>
      </c>
      <c r="K37">
        <f t="shared" si="4"/>
        <v>7870</v>
      </c>
      <c r="L37">
        <f t="shared" si="5"/>
        <v>7967</v>
      </c>
      <c r="M37">
        <f t="shared" si="6"/>
        <v>7892.5</v>
      </c>
    </row>
    <row r="38" spans="1:13" x14ac:dyDescent="0.3">
      <c r="A38" s="2">
        <f>[1]HHS_Unaccompanied_Alien_Childre!G38</f>
        <v>45004</v>
      </c>
      <c r="B38">
        <f>[2]HHS_Unaccompanied_Alien_Childre!B38</f>
        <v>134</v>
      </c>
      <c r="C38">
        <f>[3]HHS_Unaccompanied_Alien_Childre!C38</f>
        <v>294</v>
      </c>
      <c r="D38">
        <f>[2]HHS_Unaccompanied_Alien_Childre!D38</f>
        <v>186</v>
      </c>
      <c r="E38">
        <f>[2]HHS_Unaccompanied_Alien_Childre!E38</f>
        <v>7885</v>
      </c>
      <c r="F38">
        <f>[3]HHS_Unaccompanied_Alien_Childre!F38</f>
        <v>306</v>
      </c>
      <c r="G38">
        <f t="shared" si="1"/>
        <v>-104</v>
      </c>
      <c r="H38" t="str">
        <f t="shared" si="2"/>
        <v>Decrease</v>
      </c>
      <c r="I38">
        <f t="shared" si="0"/>
        <v>-52</v>
      </c>
      <c r="J38">
        <f t="shared" si="3"/>
        <v>7885</v>
      </c>
      <c r="K38">
        <f t="shared" si="4"/>
        <v>7859</v>
      </c>
      <c r="L38">
        <f t="shared" si="5"/>
        <v>7978</v>
      </c>
      <c r="M38">
        <f t="shared" si="6"/>
        <v>7924</v>
      </c>
    </row>
    <row r="39" spans="1:13" x14ac:dyDescent="0.3">
      <c r="A39" s="2">
        <f>[1]HHS_Unaccompanied_Alien_Childre!G39</f>
        <v>45005</v>
      </c>
      <c r="B39">
        <f>[2]HHS_Unaccompanied_Alien_Childre!B39</f>
        <v>202</v>
      </c>
      <c r="C39">
        <f>[3]HHS_Unaccompanied_Alien_Childre!C39</f>
        <v>313</v>
      </c>
      <c r="D39">
        <f>[2]HHS_Unaccompanied_Alien_Childre!D39</f>
        <v>158</v>
      </c>
      <c r="E39">
        <f>[2]HHS_Unaccompanied_Alien_Childre!E39</f>
        <v>7931</v>
      </c>
      <c r="F39">
        <f>[3]HHS_Unaccompanied_Alien_Childre!F39</f>
        <v>279</v>
      </c>
      <c r="G39">
        <f t="shared" si="1"/>
        <v>46</v>
      </c>
      <c r="H39" t="str">
        <f t="shared" si="2"/>
        <v>Increase</v>
      </c>
      <c r="I39">
        <f t="shared" si="0"/>
        <v>44</v>
      </c>
      <c r="J39">
        <f t="shared" si="3"/>
        <v>7931</v>
      </c>
      <c r="K39">
        <f t="shared" si="4"/>
        <v>7885</v>
      </c>
      <c r="L39">
        <f t="shared" si="5"/>
        <v>7914</v>
      </c>
      <c r="M39">
        <f t="shared" si="6"/>
        <v>7885</v>
      </c>
    </row>
    <row r="40" spans="1:13" x14ac:dyDescent="0.3">
      <c r="A40" s="2">
        <f>[1]HHS_Unaccompanied_Alien_Childre!G40</f>
        <v>45006</v>
      </c>
      <c r="B40">
        <f>[2]HHS_Unaccompanied_Alien_Childre!B40</f>
        <v>110</v>
      </c>
      <c r="C40">
        <f>[3]HHS_Unaccompanied_Alien_Childre!C40</f>
        <v>272</v>
      </c>
      <c r="D40">
        <f>[2]HHS_Unaccompanied_Alien_Childre!D40</f>
        <v>193</v>
      </c>
      <c r="E40">
        <f>[2]HHS_Unaccompanied_Alien_Childre!E40</f>
        <v>8050</v>
      </c>
      <c r="F40">
        <f>[3]HHS_Unaccompanied_Alien_Childre!F40</f>
        <v>221</v>
      </c>
      <c r="G40">
        <f t="shared" si="1"/>
        <v>119</v>
      </c>
      <c r="H40" t="str">
        <f t="shared" si="2"/>
        <v>Increase</v>
      </c>
      <c r="I40">
        <f t="shared" si="0"/>
        <v>-83</v>
      </c>
      <c r="J40">
        <f t="shared" si="3"/>
        <v>8050</v>
      </c>
      <c r="K40">
        <f t="shared" si="4"/>
        <v>7786</v>
      </c>
      <c r="L40">
        <f t="shared" si="5"/>
        <v>7609</v>
      </c>
      <c r="M40">
        <f t="shared" si="6"/>
        <v>7858.5</v>
      </c>
    </row>
    <row r="41" spans="1:13" x14ac:dyDescent="0.3">
      <c r="A41" s="2">
        <f>[1]HHS_Unaccompanied_Alien_Childre!G41</f>
        <v>45007</v>
      </c>
      <c r="B41">
        <f>[2]HHS_Unaccompanied_Alien_Childre!B41</f>
        <v>166</v>
      </c>
      <c r="C41">
        <f>[3]HHS_Unaccompanied_Alien_Childre!C41</f>
        <v>277</v>
      </c>
      <c r="D41">
        <f>[2]HHS_Unaccompanied_Alien_Childre!D41</f>
        <v>229</v>
      </c>
      <c r="E41">
        <f>[2]HHS_Unaccompanied_Alien_Childre!E41</f>
        <v>8097</v>
      </c>
      <c r="F41">
        <f>[3]HHS_Unaccompanied_Alien_Childre!F41</f>
        <v>246</v>
      </c>
      <c r="G41">
        <f t="shared" si="1"/>
        <v>47</v>
      </c>
      <c r="H41" t="str">
        <f t="shared" si="2"/>
        <v>Increase</v>
      </c>
      <c r="I41">
        <f t="shared" si="0"/>
        <v>-63</v>
      </c>
      <c r="J41">
        <f t="shared" si="3"/>
        <v>8097</v>
      </c>
      <c r="K41">
        <f t="shared" si="4"/>
        <v>7567</v>
      </c>
      <c r="L41">
        <f t="shared" si="5"/>
        <v>7800</v>
      </c>
      <c r="M41">
        <f t="shared" si="6"/>
        <v>7808.5</v>
      </c>
    </row>
    <row r="42" spans="1:13" x14ac:dyDescent="0.3">
      <c r="A42" s="2">
        <f>[1]HHS_Unaccompanied_Alien_Childre!G42</f>
        <v>45008</v>
      </c>
      <c r="B42">
        <f>[2]HHS_Unaccompanied_Alien_Childre!B42</f>
        <v>136</v>
      </c>
      <c r="C42">
        <f>[3]HHS_Unaccompanied_Alien_Childre!C42</f>
        <v>276</v>
      </c>
      <c r="D42">
        <f>[2]HHS_Unaccompanied_Alien_Childre!D42</f>
        <v>178</v>
      </c>
      <c r="E42">
        <f>[2]HHS_Unaccompanied_Alien_Childre!E42</f>
        <v>8102</v>
      </c>
      <c r="F42">
        <f>[3]HHS_Unaccompanied_Alien_Childre!F42</f>
        <v>331</v>
      </c>
      <c r="G42">
        <f t="shared" si="1"/>
        <v>5</v>
      </c>
      <c r="H42" t="str">
        <f t="shared" si="2"/>
        <v>Increase</v>
      </c>
      <c r="I42">
        <f t="shared" si="0"/>
        <v>-42</v>
      </c>
      <c r="J42">
        <f t="shared" si="3"/>
        <v>8102</v>
      </c>
      <c r="K42">
        <f t="shared" si="4"/>
        <v>7810</v>
      </c>
      <c r="L42">
        <f t="shared" si="5"/>
        <v>7896</v>
      </c>
      <c r="M42">
        <f t="shared" si="6"/>
        <v>7953.5</v>
      </c>
    </row>
    <row r="43" spans="1:13" x14ac:dyDescent="0.3">
      <c r="A43" s="2">
        <f>[1]HHS_Unaccompanied_Alien_Childre!G43</f>
        <v>45011</v>
      </c>
      <c r="B43">
        <f>[2]HHS_Unaccompanied_Alien_Childre!B43</f>
        <v>87</v>
      </c>
      <c r="C43">
        <f>[3]HHS_Unaccompanied_Alien_Childre!C43</f>
        <v>246</v>
      </c>
      <c r="D43">
        <f>[2]HHS_Unaccompanied_Alien_Childre!D43</f>
        <v>173</v>
      </c>
      <c r="E43">
        <f>[2]HHS_Unaccompanied_Alien_Childre!E43</f>
        <v>7847</v>
      </c>
      <c r="F43">
        <f>[3]HHS_Unaccompanied_Alien_Childre!F43</f>
        <v>352</v>
      </c>
      <c r="G43">
        <f t="shared" si="1"/>
        <v>-255</v>
      </c>
      <c r="H43" t="str">
        <f t="shared" si="2"/>
        <v>Decrease</v>
      </c>
      <c r="I43">
        <f t="shared" si="0"/>
        <v>-86</v>
      </c>
      <c r="J43">
        <f t="shared" si="3"/>
        <v>7847</v>
      </c>
      <c r="K43">
        <f t="shared" si="4"/>
        <v>7915</v>
      </c>
      <c r="L43">
        <f t="shared" si="5"/>
        <v>7930</v>
      </c>
      <c r="M43">
        <f t="shared" si="6"/>
        <v>8008.5</v>
      </c>
    </row>
    <row r="44" spans="1:13" x14ac:dyDescent="0.3">
      <c r="A44" s="2">
        <f>[1]HHS_Unaccompanied_Alien_Childre!G44</f>
        <v>45012</v>
      </c>
      <c r="B44">
        <f>[2]HHS_Unaccompanied_Alien_Childre!B44</f>
        <v>84</v>
      </c>
      <c r="C44">
        <f>[3]HHS_Unaccompanied_Alien_Childre!C44</f>
        <v>171</v>
      </c>
      <c r="D44">
        <f>[2]HHS_Unaccompanied_Alien_Childre!D44</f>
        <v>157</v>
      </c>
      <c r="E44">
        <f>[2]HHS_Unaccompanied_Alien_Childre!E44</f>
        <v>7994</v>
      </c>
      <c r="F44">
        <f>[3]HHS_Unaccompanied_Alien_Childre!F44</f>
        <v>235</v>
      </c>
      <c r="G44">
        <f t="shared" si="1"/>
        <v>147</v>
      </c>
      <c r="H44" t="str">
        <f t="shared" si="2"/>
        <v>Increase</v>
      </c>
      <c r="I44">
        <f t="shared" si="0"/>
        <v>-73</v>
      </c>
      <c r="J44">
        <f t="shared" si="3"/>
        <v>7994</v>
      </c>
      <c r="K44">
        <f t="shared" si="4"/>
        <v>7989</v>
      </c>
      <c r="L44">
        <f t="shared" si="5"/>
        <v>7870</v>
      </c>
      <c r="M44">
        <f t="shared" si="6"/>
        <v>7918</v>
      </c>
    </row>
    <row r="45" spans="1:13" x14ac:dyDescent="0.3">
      <c r="A45" s="2">
        <f>[1]HHS_Unaccompanied_Alien_Childre!G45</f>
        <v>45013</v>
      </c>
      <c r="B45">
        <f>[2]HHS_Unaccompanied_Alien_Childre!B45</f>
        <v>167</v>
      </c>
      <c r="C45">
        <f>[3]HHS_Unaccompanied_Alien_Childre!C45</f>
        <v>209</v>
      </c>
      <c r="D45">
        <f>[2]HHS_Unaccompanied_Alien_Childre!D45</f>
        <v>157</v>
      </c>
      <c r="E45">
        <f>[2]HHS_Unaccompanied_Alien_Childre!E45</f>
        <v>8079</v>
      </c>
      <c r="F45">
        <f>[3]HHS_Unaccompanied_Alien_Childre!F45</f>
        <v>223</v>
      </c>
      <c r="G45">
        <f t="shared" si="1"/>
        <v>85</v>
      </c>
      <c r="H45" t="str">
        <f t="shared" si="2"/>
        <v>Increase</v>
      </c>
      <c r="I45">
        <f t="shared" si="0"/>
        <v>10</v>
      </c>
      <c r="J45">
        <f t="shared" si="3"/>
        <v>8079</v>
      </c>
      <c r="K45">
        <f t="shared" si="4"/>
        <v>7885</v>
      </c>
      <c r="L45">
        <f t="shared" si="5"/>
        <v>7859</v>
      </c>
      <c r="M45">
        <f t="shared" si="6"/>
        <v>7939.5</v>
      </c>
    </row>
    <row r="46" spans="1:13" x14ac:dyDescent="0.3">
      <c r="A46" s="2">
        <f>[1]HHS_Unaccompanied_Alien_Childre!G46</f>
        <v>45014</v>
      </c>
      <c r="B46">
        <f>[2]HHS_Unaccompanied_Alien_Childre!B46</f>
        <v>109</v>
      </c>
      <c r="C46">
        <f>[3]HHS_Unaccompanied_Alien_Childre!C46</f>
        <v>245</v>
      </c>
      <c r="D46">
        <f>[2]HHS_Unaccompanied_Alien_Childre!D46</f>
        <v>159</v>
      </c>
      <c r="E46">
        <f>[2]HHS_Unaccompanied_Alien_Childre!E46</f>
        <v>8208</v>
      </c>
      <c r="F46">
        <f>[3]HHS_Unaccompanied_Alien_Childre!F46</f>
        <v>267</v>
      </c>
      <c r="G46">
        <f t="shared" si="1"/>
        <v>129</v>
      </c>
      <c r="H46" t="str">
        <f t="shared" si="2"/>
        <v>Increase</v>
      </c>
      <c r="I46">
        <f t="shared" si="0"/>
        <v>-50</v>
      </c>
      <c r="J46">
        <f t="shared" si="3"/>
        <v>8208</v>
      </c>
      <c r="K46">
        <f t="shared" si="4"/>
        <v>7931</v>
      </c>
      <c r="L46">
        <f t="shared" si="5"/>
        <v>7885</v>
      </c>
      <c r="M46">
        <f t="shared" si="6"/>
        <v>8005</v>
      </c>
    </row>
    <row r="47" spans="1:13" x14ac:dyDescent="0.3">
      <c r="A47" s="2">
        <f>[1]HHS_Unaccompanied_Alien_Childre!G47</f>
        <v>45015</v>
      </c>
      <c r="B47">
        <f>[2]HHS_Unaccompanied_Alien_Childre!B47</f>
        <v>156</v>
      </c>
      <c r="C47">
        <f>[3]HHS_Unaccompanied_Alien_Childre!C47</f>
        <v>256</v>
      </c>
      <c r="D47">
        <f>[2]HHS_Unaccompanied_Alien_Childre!D47</f>
        <v>176</v>
      </c>
      <c r="E47">
        <f>[2]HHS_Unaccompanied_Alien_Childre!E47</f>
        <v>8158</v>
      </c>
      <c r="F47">
        <f>[3]HHS_Unaccompanied_Alien_Childre!F47</f>
        <v>359</v>
      </c>
      <c r="G47">
        <f t="shared" si="1"/>
        <v>-50</v>
      </c>
      <c r="H47" t="str">
        <f t="shared" si="2"/>
        <v>Decrease</v>
      </c>
      <c r="I47">
        <f t="shared" si="0"/>
        <v>-20</v>
      </c>
      <c r="J47">
        <f t="shared" si="3"/>
        <v>8158</v>
      </c>
      <c r="K47">
        <f t="shared" si="4"/>
        <v>8050</v>
      </c>
      <c r="L47">
        <f t="shared" si="5"/>
        <v>7786</v>
      </c>
      <c r="M47">
        <f t="shared" si="6"/>
        <v>8129</v>
      </c>
    </row>
    <row r="48" spans="1:13" x14ac:dyDescent="0.3">
      <c r="A48" s="2">
        <f>[1]HHS_Unaccompanied_Alien_Childre!G48</f>
        <v>45018</v>
      </c>
      <c r="B48">
        <f>[2]HHS_Unaccompanied_Alien_Childre!B48</f>
        <v>125</v>
      </c>
      <c r="C48">
        <f>[3]HHS_Unaccompanied_Alien_Childre!C48</f>
        <v>232</v>
      </c>
      <c r="D48">
        <f>[2]HHS_Unaccompanied_Alien_Childre!D48</f>
        <v>192</v>
      </c>
      <c r="E48">
        <f>[2]HHS_Unaccompanied_Alien_Childre!E48</f>
        <v>7981</v>
      </c>
      <c r="F48">
        <f>[3]HHS_Unaccompanied_Alien_Childre!F48</f>
        <v>304</v>
      </c>
      <c r="G48">
        <f t="shared" si="1"/>
        <v>-177</v>
      </c>
      <c r="H48" t="str">
        <f t="shared" si="2"/>
        <v>Decrease</v>
      </c>
      <c r="I48">
        <f t="shared" si="0"/>
        <v>-67</v>
      </c>
      <c r="J48">
        <f t="shared" si="3"/>
        <v>7981</v>
      </c>
      <c r="K48">
        <f t="shared" si="4"/>
        <v>8097</v>
      </c>
      <c r="L48">
        <f t="shared" si="5"/>
        <v>7567</v>
      </c>
      <c r="M48">
        <f t="shared" si="6"/>
        <v>8127.5</v>
      </c>
    </row>
    <row r="49" spans="1:13" x14ac:dyDescent="0.3">
      <c r="A49" s="2">
        <f>[1]HHS_Unaccompanied_Alien_Childre!G49</f>
        <v>45019</v>
      </c>
      <c r="B49">
        <f>[2]HHS_Unaccompanied_Alien_Childre!B49</f>
        <v>118</v>
      </c>
      <c r="C49">
        <f>[3]HHS_Unaccompanied_Alien_Childre!C49</f>
        <v>139</v>
      </c>
      <c r="D49">
        <f>[2]HHS_Unaccompanied_Alien_Childre!D49</f>
        <v>168</v>
      </c>
      <c r="E49">
        <f>[2]HHS_Unaccompanied_Alien_Childre!E49</f>
        <v>8054</v>
      </c>
      <c r="F49">
        <f>[3]HHS_Unaccompanied_Alien_Childre!F49</f>
        <v>284</v>
      </c>
      <c r="G49">
        <f t="shared" si="1"/>
        <v>73</v>
      </c>
      <c r="H49" t="str">
        <f t="shared" si="2"/>
        <v>Increase</v>
      </c>
      <c r="I49">
        <f t="shared" si="0"/>
        <v>-50</v>
      </c>
      <c r="J49">
        <f t="shared" si="3"/>
        <v>8054</v>
      </c>
      <c r="K49">
        <f t="shared" si="4"/>
        <v>8102</v>
      </c>
      <c r="L49">
        <f t="shared" si="5"/>
        <v>7810</v>
      </c>
      <c r="M49">
        <f t="shared" si="6"/>
        <v>8041.5</v>
      </c>
    </row>
    <row r="50" spans="1:13" x14ac:dyDescent="0.3">
      <c r="A50" s="2">
        <f>[1]HHS_Unaccompanied_Alien_Childre!G50</f>
        <v>45020</v>
      </c>
      <c r="B50">
        <f>[2]HHS_Unaccompanied_Alien_Childre!B50</f>
        <v>142</v>
      </c>
      <c r="C50">
        <f>[3]HHS_Unaccompanied_Alien_Childre!C50</f>
        <v>235</v>
      </c>
      <c r="D50">
        <f>[2]HHS_Unaccompanied_Alien_Childre!D50</f>
        <v>139</v>
      </c>
      <c r="E50">
        <f>[2]HHS_Unaccompanied_Alien_Childre!E50</f>
        <v>8068</v>
      </c>
      <c r="F50">
        <f>[3]HHS_Unaccompanied_Alien_Childre!F50</f>
        <v>259</v>
      </c>
      <c r="G50">
        <f t="shared" si="1"/>
        <v>14</v>
      </c>
      <c r="H50" t="str">
        <f t="shared" si="2"/>
        <v>Increase</v>
      </c>
      <c r="I50">
        <f t="shared" si="0"/>
        <v>3</v>
      </c>
      <c r="J50">
        <f t="shared" si="3"/>
        <v>8068</v>
      </c>
      <c r="K50">
        <f t="shared" si="4"/>
        <v>7847</v>
      </c>
      <c r="L50">
        <f t="shared" si="5"/>
        <v>7915</v>
      </c>
      <c r="M50">
        <f t="shared" si="6"/>
        <v>7950.5</v>
      </c>
    </row>
    <row r="51" spans="1:13" x14ac:dyDescent="0.3">
      <c r="A51" s="2">
        <f>[1]HHS_Unaccompanied_Alien_Childre!G51</f>
        <v>45021</v>
      </c>
      <c r="B51">
        <f>[2]HHS_Unaccompanied_Alien_Childre!B51</f>
        <v>148</v>
      </c>
      <c r="C51">
        <f>[3]HHS_Unaccompanied_Alien_Childre!C51</f>
        <v>245</v>
      </c>
      <c r="D51">
        <f>[2]HHS_Unaccompanied_Alien_Childre!D51</f>
        <v>175</v>
      </c>
      <c r="E51">
        <f>[2]HHS_Unaccompanied_Alien_Childre!E51</f>
        <v>8175</v>
      </c>
      <c r="F51">
        <f>[3]HHS_Unaccompanied_Alien_Childre!F51</f>
        <v>260</v>
      </c>
      <c r="G51">
        <f t="shared" si="1"/>
        <v>107</v>
      </c>
      <c r="H51" t="str">
        <f t="shared" si="2"/>
        <v>Increase</v>
      </c>
      <c r="I51">
        <f t="shared" si="0"/>
        <v>-27</v>
      </c>
      <c r="J51">
        <f t="shared" si="3"/>
        <v>8175</v>
      </c>
      <c r="K51">
        <f t="shared" si="4"/>
        <v>7994</v>
      </c>
      <c r="L51">
        <f t="shared" si="5"/>
        <v>7989</v>
      </c>
      <c r="M51">
        <f t="shared" si="6"/>
        <v>8031</v>
      </c>
    </row>
    <row r="52" spans="1:13" x14ac:dyDescent="0.3">
      <c r="A52" s="2">
        <f>[1]HHS_Unaccompanied_Alien_Childre!G52</f>
        <v>45022</v>
      </c>
      <c r="B52">
        <f>[2]HHS_Unaccompanied_Alien_Childre!B52</f>
        <v>119</v>
      </c>
      <c r="C52">
        <f>[3]HHS_Unaccompanied_Alien_Childre!C52</f>
        <v>219</v>
      </c>
      <c r="D52">
        <f>[2]HHS_Unaccompanied_Alien_Childre!D52</f>
        <v>210</v>
      </c>
      <c r="E52">
        <f>[2]HHS_Unaccompanied_Alien_Childre!E52</f>
        <v>8178</v>
      </c>
      <c r="F52">
        <f>[3]HHS_Unaccompanied_Alien_Childre!F52</f>
        <v>284</v>
      </c>
      <c r="G52">
        <f t="shared" si="1"/>
        <v>3</v>
      </c>
      <c r="H52" t="str">
        <f t="shared" si="2"/>
        <v>Increase</v>
      </c>
      <c r="I52">
        <f t="shared" si="0"/>
        <v>-91</v>
      </c>
      <c r="J52">
        <f t="shared" si="3"/>
        <v>8178</v>
      </c>
      <c r="K52">
        <f t="shared" si="4"/>
        <v>8079</v>
      </c>
      <c r="L52">
        <f t="shared" si="5"/>
        <v>7885</v>
      </c>
      <c r="M52">
        <f t="shared" si="6"/>
        <v>8127</v>
      </c>
    </row>
    <row r="53" spans="1:13" x14ac:dyDescent="0.3">
      <c r="A53" s="2">
        <f>[1]HHS_Unaccompanied_Alien_Childre!G53</f>
        <v>45025</v>
      </c>
      <c r="B53">
        <f>[2]HHS_Unaccompanied_Alien_Childre!B53</f>
        <v>105</v>
      </c>
      <c r="C53">
        <f>[3]HHS_Unaccompanied_Alien_Childre!C53</f>
        <v>210</v>
      </c>
      <c r="D53">
        <f>[2]HHS_Unaccompanied_Alien_Childre!D53</f>
        <v>149</v>
      </c>
      <c r="E53">
        <f>[2]HHS_Unaccompanied_Alien_Childre!E53</f>
        <v>7900</v>
      </c>
      <c r="F53">
        <f>[3]HHS_Unaccompanied_Alien_Childre!F53</f>
        <v>329</v>
      </c>
      <c r="G53">
        <f t="shared" si="1"/>
        <v>-278</v>
      </c>
      <c r="H53" t="str">
        <f t="shared" si="2"/>
        <v>Decrease</v>
      </c>
      <c r="I53">
        <f t="shared" si="0"/>
        <v>-44</v>
      </c>
      <c r="J53">
        <f t="shared" si="3"/>
        <v>7900</v>
      </c>
      <c r="K53">
        <f t="shared" si="4"/>
        <v>8208</v>
      </c>
      <c r="L53">
        <f t="shared" si="5"/>
        <v>7931</v>
      </c>
      <c r="M53">
        <f t="shared" si="6"/>
        <v>8193</v>
      </c>
    </row>
    <row r="54" spans="1:13" x14ac:dyDescent="0.3">
      <c r="A54" s="2">
        <f>[1]HHS_Unaccompanied_Alien_Childre!G54</f>
        <v>45026</v>
      </c>
      <c r="B54">
        <f>[2]HHS_Unaccompanied_Alien_Childre!B54</f>
        <v>143</v>
      </c>
      <c r="C54">
        <f>[3]HHS_Unaccompanied_Alien_Childre!C54</f>
        <v>203</v>
      </c>
      <c r="D54">
        <f>[2]HHS_Unaccompanied_Alien_Childre!D54</f>
        <v>163</v>
      </c>
      <c r="E54">
        <f>[2]HHS_Unaccompanied_Alien_Childre!E54</f>
        <v>7826</v>
      </c>
      <c r="F54">
        <f>[3]HHS_Unaccompanied_Alien_Childre!F54</f>
        <v>265</v>
      </c>
      <c r="G54">
        <f t="shared" si="1"/>
        <v>-74</v>
      </c>
      <c r="H54" t="str">
        <f t="shared" si="2"/>
        <v>Decrease</v>
      </c>
      <c r="I54">
        <f t="shared" si="0"/>
        <v>-20</v>
      </c>
      <c r="J54">
        <f t="shared" si="3"/>
        <v>7826</v>
      </c>
      <c r="K54">
        <f t="shared" si="4"/>
        <v>8158</v>
      </c>
      <c r="L54">
        <f t="shared" si="5"/>
        <v>8050</v>
      </c>
      <c r="M54">
        <f t="shared" si="6"/>
        <v>8029</v>
      </c>
    </row>
    <row r="55" spans="1:13" x14ac:dyDescent="0.3">
      <c r="A55" s="2">
        <f>[1]HHS_Unaccompanied_Alien_Childre!G55</f>
        <v>45027</v>
      </c>
      <c r="B55">
        <f>[2]HHS_Unaccompanied_Alien_Childre!B55</f>
        <v>119</v>
      </c>
      <c r="C55">
        <f>[3]HHS_Unaccompanied_Alien_Childre!C55</f>
        <v>209</v>
      </c>
      <c r="D55">
        <f>[2]HHS_Unaccompanied_Alien_Childre!D55</f>
        <v>152</v>
      </c>
      <c r="E55">
        <f>[2]HHS_Unaccompanied_Alien_Childre!E55</f>
        <v>7922</v>
      </c>
      <c r="F55">
        <f>[3]HHS_Unaccompanied_Alien_Childre!F55</f>
        <v>187</v>
      </c>
      <c r="G55">
        <f t="shared" si="1"/>
        <v>96</v>
      </c>
      <c r="H55" t="str">
        <f t="shared" si="2"/>
        <v>Increase</v>
      </c>
      <c r="I55">
        <f t="shared" si="0"/>
        <v>-33</v>
      </c>
      <c r="J55">
        <f t="shared" si="3"/>
        <v>7922</v>
      </c>
      <c r="K55">
        <f t="shared" si="4"/>
        <v>7981</v>
      </c>
      <c r="L55">
        <f t="shared" si="5"/>
        <v>8097</v>
      </c>
      <c r="M55">
        <f t="shared" si="6"/>
        <v>7903.5</v>
      </c>
    </row>
    <row r="56" spans="1:13" x14ac:dyDescent="0.3">
      <c r="A56" s="2">
        <f>[1]HHS_Unaccompanied_Alien_Childre!G56</f>
        <v>45028</v>
      </c>
      <c r="B56">
        <f>[2]HHS_Unaccompanied_Alien_Childre!B56</f>
        <v>155</v>
      </c>
      <c r="C56">
        <f>[3]HHS_Unaccompanied_Alien_Childre!C56</f>
        <v>212</v>
      </c>
      <c r="D56">
        <f>[2]HHS_Unaccompanied_Alien_Childre!D56</f>
        <v>181</v>
      </c>
      <c r="E56">
        <f>[2]HHS_Unaccompanied_Alien_Childre!E56</f>
        <v>7876</v>
      </c>
      <c r="F56">
        <f>[3]HHS_Unaccompanied_Alien_Childre!F56</f>
        <v>283</v>
      </c>
      <c r="G56">
        <f t="shared" si="1"/>
        <v>-46</v>
      </c>
      <c r="H56" t="str">
        <f t="shared" si="2"/>
        <v>Decrease</v>
      </c>
      <c r="I56">
        <f t="shared" si="0"/>
        <v>-26</v>
      </c>
      <c r="J56">
        <f t="shared" si="3"/>
        <v>7876</v>
      </c>
      <c r="K56">
        <f t="shared" si="4"/>
        <v>8054</v>
      </c>
      <c r="L56">
        <f t="shared" si="5"/>
        <v>8102</v>
      </c>
      <c r="M56">
        <f t="shared" si="6"/>
        <v>7988</v>
      </c>
    </row>
    <row r="57" spans="1:13" x14ac:dyDescent="0.3">
      <c r="A57" s="2">
        <f>[1]HHS_Unaccompanied_Alien_Childre!G57</f>
        <v>45029</v>
      </c>
      <c r="B57">
        <f>[2]HHS_Unaccompanied_Alien_Childre!B57</f>
        <v>109</v>
      </c>
      <c r="C57">
        <f>[3]HHS_Unaccompanied_Alien_Childre!C57</f>
        <v>214</v>
      </c>
      <c r="D57">
        <f>[2]HHS_Unaccompanied_Alien_Childre!D57</f>
        <v>173</v>
      </c>
      <c r="E57">
        <f>[2]HHS_Unaccompanied_Alien_Childre!E57</f>
        <v>7795</v>
      </c>
      <c r="F57">
        <f>[3]HHS_Unaccompanied_Alien_Childre!F57</f>
        <v>370</v>
      </c>
      <c r="G57">
        <f t="shared" si="1"/>
        <v>-81</v>
      </c>
      <c r="H57" t="str">
        <f t="shared" si="2"/>
        <v>Decrease</v>
      </c>
      <c r="I57">
        <f t="shared" si="0"/>
        <v>-64</v>
      </c>
      <c r="J57">
        <f t="shared" si="3"/>
        <v>7795</v>
      </c>
      <c r="K57">
        <f t="shared" si="4"/>
        <v>8068</v>
      </c>
      <c r="L57">
        <f t="shared" si="5"/>
        <v>7847</v>
      </c>
      <c r="M57">
        <f t="shared" si="6"/>
        <v>7972</v>
      </c>
    </row>
    <row r="58" spans="1:13" x14ac:dyDescent="0.3">
      <c r="A58" s="2">
        <f>[1]HHS_Unaccompanied_Alien_Childre!G58</f>
        <v>45032</v>
      </c>
      <c r="B58">
        <f>[2]HHS_Unaccompanied_Alien_Childre!B58</f>
        <v>191</v>
      </c>
      <c r="C58">
        <f>[3]HHS_Unaccompanied_Alien_Childre!C58</f>
        <v>283</v>
      </c>
      <c r="D58">
        <f>[2]HHS_Unaccompanied_Alien_Childre!D58</f>
        <v>192</v>
      </c>
      <c r="E58">
        <f>[2]HHS_Unaccompanied_Alien_Childre!E58</f>
        <v>7380</v>
      </c>
      <c r="F58">
        <f>[3]HHS_Unaccompanied_Alien_Childre!F58</f>
        <v>272</v>
      </c>
      <c r="G58">
        <f t="shared" si="1"/>
        <v>-415</v>
      </c>
      <c r="H58" t="str">
        <f t="shared" si="2"/>
        <v>Decrease</v>
      </c>
      <c r="I58">
        <f t="shared" si="0"/>
        <v>-1</v>
      </c>
      <c r="J58">
        <f t="shared" si="3"/>
        <v>7380</v>
      </c>
      <c r="K58">
        <f t="shared" si="4"/>
        <v>8175</v>
      </c>
      <c r="L58">
        <f t="shared" si="5"/>
        <v>7994</v>
      </c>
      <c r="M58">
        <f t="shared" si="6"/>
        <v>7985</v>
      </c>
    </row>
    <row r="59" spans="1:13" x14ac:dyDescent="0.3">
      <c r="A59" s="2">
        <f>[1]HHS_Unaccompanied_Alien_Childre!G59</f>
        <v>45033</v>
      </c>
      <c r="B59">
        <f>[2]HHS_Unaccompanied_Alien_Childre!B59</f>
        <v>170</v>
      </c>
      <c r="C59">
        <f>[3]HHS_Unaccompanied_Alien_Childre!C59</f>
        <v>297</v>
      </c>
      <c r="D59">
        <f>[2]HHS_Unaccompanied_Alien_Childre!D59</f>
        <v>196</v>
      </c>
      <c r="E59">
        <f>[2]HHS_Unaccompanied_Alien_Childre!E59</f>
        <v>7344</v>
      </c>
      <c r="F59">
        <f>[3]HHS_Unaccompanied_Alien_Childre!F59</f>
        <v>248</v>
      </c>
      <c r="G59">
        <f t="shared" si="1"/>
        <v>-36</v>
      </c>
      <c r="H59" t="str">
        <f t="shared" si="2"/>
        <v>Decrease</v>
      </c>
      <c r="I59">
        <f t="shared" si="0"/>
        <v>-26</v>
      </c>
      <c r="J59">
        <f t="shared" si="3"/>
        <v>7344</v>
      </c>
      <c r="K59">
        <f t="shared" si="4"/>
        <v>8178</v>
      </c>
      <c r="L59">
        <f t="shared" si="5"/>
        <v>8079</v>
      </c>
      <c r="M59">
        <f t="shared" si="6"/>
        <v>7779</v>
      </c>
    </row>
    <row r="60" spans="1:13" x14ac:dyDescent="0.3">
      <c r="A60" s="2">
        <f>[1]HHS_Unaccompanied_Alien_Childre!G60</f>
        <v>45034</v>
      </c>
      <c r="B60">
        <f>[2]HHS_Unaccompanied_Alien_Childre!B60</f>
        <v>152</v>
      </c>
      <c r="C60">
        <f>[3]HHS_Unaccompanied_Alien_Childre!C60</f>
        <v>272</v>
      </c>
      <c r="D60">
        <f>[2]HHS_Unaccompanied_Alien_Childre!D60</f>
        <v>214</v>
      </c>
      <c r="E60">
        <f>[2]HHS_Unaccompanied_Alien_Childre!E60</f>
        <v>7376</v>
      </c>
      <c r="F60">
        <f>[3]HHS_Unaccompanied_Alien_Childre!F60</f>
        <v>234</v>
      </c>
      <c r="G60">
        <f t="shared" si="1"/>
        <v>32</v>
      </c>
      <c r="H60" t="str">
        <f t="shared" si="2"/>
        <v>Increase</v>
      </c>
      <c r="I60">
        <f t="shared" si="0"/>
        <v>-62</v>
      </c>
      <c r="J60">
        <f t="shared" si="3"/>
        <v>7376</v>
      </c>
      <c r="K60">
        <f t="shared" si="4"/>
        <v>7900</v>
      </c>
      <c r="L60">
        <f t="shared" si="5"/>
        <v>8208</v>
      </c>
      <c r="M60">
        <f t="shared" si="6"/>
        <v>7622</v>
      </c>
    </row>
    <row r="61" spans="1:13" x14ac:dyDescent="0.3">
      <c r="A61" s="2">
        <f>[1]HHS_Unaccompanied_Alien_Childre!G61</f>
        <v>45035</v>
      </c>
      <c r="B61">
        <f>[2]HHS_Unaccompanied_Alien_Childre!B61</f>
        <v>239</v>
      </c>
      <c r="C61">
        <f>[3]HHS_Unaccompanied_Alien_Childre!C61</f>
        <v>367</v>
      </c>
      <c r="D61">
        <f>[2]HHS_Unaccompanied_Alien_Childre!D61</f>
        <v>224</v>
      </c>
      <c r="E61">
        <f>[2]HHS_Unaccompanied_Alien_Childre!E61</f>
        <v>7356</v>
      </c>
      <c r="F61">
        <f>[3]HHS_Unaccompanied_Alien_Childre!F61</f>
        <v>229</v>
      </c>
      <c r="G61">
        <f t="shared" si="1"/>
        <v>-20</v>
      </c>
      <c r="H61" t="str">
        <f t="shared" si="2"/>
        <v>Decrease</v>
      </c>
      <c r="I61">
        <f t="shared" si="0"/>
        <v>15</v>
      </c>
      <c r="J61">
        <f t="shared" si="3"/>
        <v>7356</v>
      </c>
      <c r="K61">
        <f t="shared" si="4"/>
        <v>7826</v>
      </c>
      <c r="L61">
        <f t="shared" si="5"/>
        <v>8158</v>
      </c>
      <c r="M61">
        <f t="shared" si="6"/>
        <v>7601</v>
      </c>
    </row>
    <row r="62" spans="1:13" x14ac:dyDescent="0.3">
      <c r="A62" s="2">
        <f>[1]HHS_Unaccompanied_Alien_Childre!G62</f>
        <v>45036</v>
      </c>
      <c r="B62">
        <f>[2]HHS_Unaccompanied_Alien_Childre!B62</f>
        <v>113</v>
      </c>
      <c r="C62">
        <f>[3]HHS_Unaccompanied_Alien_Childre!C62</f>
        <v>280</v>
      </c>
      <c r="D62">
        <f>[2]HHS_Unaccompanied_Alien_Childre!D62</f>
        <v>237</v>
      </c>
      <c r="E62">
        <f>[2]HHS_Unaccompanied_Alien_Childre!E62</f>
        <v>7490</v>
      </c>
      <c r="F62">
        <f>[3]HHS_Unaccompanied_Alien_Childre!F62</f>
        <v>320</v>
      </c>
      <c r="G62">
        <f t="shared" si="1"/>
        <v>134</v>
      </c>
      <c r="H62" t="str">
        <f t="shared" si="2"/>
        <v>Increase</v>
      </c>
      <c r="I62">
        <f t="shared" si="0"/>
        <v>-124</v>
      </c>
      <c r="J62">
        <f t="shared" si="3"/>
        <v>7490</v>
      </c>
      <c r="K62">
        <f t="shared" si="4"/>
        <v>7922</v>
      </c>
      <c r="L62">
        <f t="shared" si="5"/>
        <v>7981</v>
      </c>
      <c r="M62">
        <f t="shared" si="6"/>
        <v>7639</v>
      </c>
    </row>
    <row r="63" spans="1:13" x14ac:dyDescent="0.3">
      <c r="A63" s="2">
        <f>[1]HHS_Unaccompanied_Alien_Childre!G63</f>
        <v>45039</v>
      </c>
      <c r="B63">
        <f>[2]HHS_Unaccompanied_Alien_Childre!B63</f>
        <v>196</v>
      </c>
      <c r="C63">
        <f>[3]HHS_Unaccompanied_Alien_Childre!C63</f>
        <v>306</v>
      </c>
      <c r="D63">
        <f>[2]HHS_Unaccompanied_Alien_Childre!D63</f>
        <v>187</v>
      </c>
      <c r="E63">
        <f>[2]HHS_Unaccompanied_Alien_Childre!E63</f>
        <v>7534</v>
      </c>
      <c r="F63">
        <f>[3]HHS_Unaccompanied_Alien_Childre!F63</f>
        <v>266</v>
      </c>
      <c r="G63">
        <f t="shared" si="1"/>
        <v>44</v>
      </c>
      <c r="H63" t="str">
        <f t="shared" si="2"/>
        <v>Increase</v>
      </c>
      <c r="I63">
        <f t="shared" si="0"/>
        <v>9</v>
      </c>
      <c r="J63">
        <f t="shared" si="3"/>
        <v>7534</v>
      </c>
      <c r="K63">
        <f t="shared" si="4"/>
        <v>7876</v>
      </c>
      <c r="L63">
        <f t="shared" si="5"/>
        <v>8054</v>
      </c>
      <c r="M63">
        <f t="shared" si="6"/>
        <v>7683</v>
      </c>
    </row>
    <row r="64" spans="1:13" x14ac:dyDescent="0.3">
      <c r="A64" s="2">
        <f>[1]HHS_Unaccompanied_Alien_Childre!G64</f>
        <v>45040</v>
      </c>
      <c r="B64">
        <f>[2]HHS_Unaccompanied_Alien_Childre!B64</f>
        <v>236</v>
      </c>
      <c r="C64">
        <f>[3]HHS_Unaccompanied_Alien_Childre!C64</f>
        <v>330</v>
      </c>
      <c r="D64">
        <f>[2]HHS_Unaccompanied_Alien_Childre!D64</f>
        <v>222</v>
      </c>
      <c r="E64">
        <f>[2]HHS_Unaccompanied_Alien_Childre!E64</f>
        <v>7796</v>
      </c>
      <c r="F64">
        <f>[3]HHS_Unaccompanied_Alien_Childre!F64</f>
        <v>213</v>
      </c>
      <c r="G64">
        <f t="shared" si="1"/>
        <v>262</v>
      </c>
      <c r="H64" t="str">
        <f t="shared" si="2"/>
        <v>Increase</v>
      </c>
      <c r="I64">
        <f t="shared" si="0"/>
        <v>14</v>
      </c>
      <c r="J64">
        <f t="shared" si="3"/>
        <v>7796</v>
      </c>
      <c r="K64">
        <f t="shared" si="4"/>
        <v>7795</v>
      </c>
      <c r="L64">
        <f t="shared" si="5"/>
        <v>8068</v>
      </c>
      <c r="M64">
        <f t="shared" si="6"/>
        <v>7664.5</v>
      </c>
    </row>
    <row r="65" spans="1:13" x14ac:dyDescent="0.3">
      <c r="A65" s="2">
        <f>[1]HHS_Unaccompanied_Alien_Childre!G65</f>
        <v>45041</v>
      </c>
      <c r="B65">
        <f>[2]HHS_Unaccompanied_Alien_Childre!B65</f>
        <v>81</v>
      </c>
      <c r="C65">
        <f>[3]HHS_Unaccompanied_Alien_Childre!C65</f>
        <v>230</v>
      </c>
      <c r="D65">
        <f>[2]HHS_Unaccompanied_Alien_Childre!D65</f>
        <v>242</v>
      </c>
      <c r="E65">
        <f>[2]HHS_Unaccompanied_Alien_Childre!E65</f>
        <v>8017</v>
      </c>
      <c r="F65">
        <f>[3]HHS_Unaccompanied_Alien_Childre!F65</f>
        <v>202</v>
      </c>
      <c r="G65">
        <f t="shared" si="1"/>
        <v>221</v>
      </c>
      <c r="H65" t="str">
        <f t="shared" si="2"/>
        <v>Increase</v>
      </c>
      <c r="I65">
        <f t="shared" si="0"/>
        <v>-161</v>
      </c>
      <c r="J65">
        <f t="shared" si="3"/>
        <v>8017</v>
      </c>
      <c r="K65">
        <f t="shared" si="4"/>
        <v>7380</v>
      </c>
      <c r="L65">
        <f t="shared" si="5"/>
        <v>8175</v>
      </c>
      <c r="M65">
        <f t="shared" si="6"/>
        <v>7588</v>
      </c>
    </row>
    <row r="66" spans="1:13" x14ac:dyDescent="0.3">
      <c r="A66" s="2">
        <f>[1]HHS_Unaccompanied_Alien_Childre!G66</f>
        <v>45042</v>
      </c>
      <c r="B66">
        <f>[2]HHS_Unaccompanied_Alien_Childre!B66</f>
        <v>118</v>
      </c>
      <c r="C66">
        <f>[3]HHS_Unaccompanied_Alien_Childre!C66</f>
        <v>245</v>
      </c>
      <c r="D66">
        <f>[2]HHS_Unaccompanied_Alien_Childre!D66</f>
        <v>160</v>
      </c>
      <c r="E66">
        <f>[2]HHS_Unaccompanied_Alien_Childre!E66</f>
        <v>8117</v>
      </c>
      <c r="F66">
        <f>[3]HHS_Unaccompanied_Alien_Childre!F66</f>
        <v>256</v>
      </c>
      <c r="G66">
        <f t="shared" si="1"/>
        <v>100</v>
      </c>
      <c r="H66" t="str">
        <f t="shared" si="2"/>
        <v>Increase</v>
      </c>
      <c r="I66">
        <f t="shared" si="0"/>
        <v>-42</v>
      </c>
      <c r="J66">
        <f t="shared" si="3"/>
        <v>8117</v>
      </c>
      <c r="K66">
        <f t="shared" si="4"/>
        <v>7344</v>
      </c>
      <c r="L66">
        <f t="shared" si="5"/>
        <v>8178</v>
      </c>
      <c r="M66">
        <f t="shared" si="6"/>
        <v>7680.5</v>
      </c>
    </row>
    <row r="67" spans="1:13" x14ac:dyDescent="0.3">
      <c r="A67" s="2">
        <f>[1]HHS_Unaccompanied_Alien_Childre!G67</f>
        <v>45043</v>
      </c>
      <c r="B67">
        <f>[2]HHS_Unaccompanied_Alien_Childre!B67</f>
        <v>218</v>
      </c>
      <c r="C67">
        <f>[3]HHS_Unaccompanied_Alien_Childre!C67</f>
        <v>283</v>
      </c>
      <c r="D67">
        <f>[2]HHS_Unaccompanied_Alien_Childre!D67</f>
        <v>208</v>
      </c>
      <c r="E67">
        <f>[2]HHS_Unaccompanied_Alien_Childre!E67</f>
        <v>8159</v>
      </c>
      <c r="F67">
        <f>[3]HHS_Unaccompanied_Alien_Childre!F67</f>
        <v>310</v>
      </c>
      <c r="G67">
        <f t="shared" si="1"/>
        <v>42</v>
      </c>
      <c r="H67" t="str">
        <f t="shared" si="2"/>
        <v>Increase</v>
      </c>
      <c r="I67">
        <f t="shared" ref="I67:I130" si="7">B67-D67</f>
        <v>10</v>
      </c>
      <c r="J67">
        <f t="shared" si="3"/>
        <v>8159</v>
      </c>
      <c r="K67">
        <f t="shared" si="4"/>
        <v>7376</v>
      </c>
      <c r="L67">
        <f t="shared" si="5"/>
        <v>7900</v>
      </c>
      <c r="M67">
        <f t="shared" si="6"/>
        <v>7746.5</v>
      </c>
    </row>
    <row r="68" spans="1:13" x14ac:dyDescent="0.3">
      <c r="A68" s="2">
        <f>[1]HHS_Unaccompanied_Alien_Childre!G68</f>
        <v>45046</v>
      </c>
      <c r="B68">
        <f>[2]HHS_Unaccompanied_Alien_Childre!B68</f>
        <v>132</v>
      </c>
      <c r="C68">
        <f>[3]HHS_Unaccompanied_Alien_Childre!C68</f>
        <v>243</v>
      </c>
      <c r="D68">
        <f>[2]HHS_Unaccompanied_Alien_Childre!D68</f>
        <v>183</v>
      </c>
      <c r="E68">
        <f>[2]HHS_Unaccompanied_Alien_Childre!E68</f>
        <v>8352</v>
      </c>
      <c r="F68">
        <f>[3]HHS_Unaccompanied_Alien_Childre!F68</f>
        <v>293</v>
      </c>
      <c r="G68">
        <f t="shared" ref="G68:G131" si="8">E68-E67</f>
        <v>193</v>
      </c>
      <c r="H68" t="str">
        <f t="shared" ref="H68:H131" si="9">IF(G68&gt;0,"Increase",IF(G68&lt;0,"Decrease","No Change"))</f>
        <v>Increase</v>
      </c>
      <c r="I68">
        <f t="shared" si="7"/>
        <v>-51</v>
      </c>
      <c r="J68">
        <f t="shared" si="3"/>
        <v>8352</v>
      </c>
      <c r="K68">
        <f t="shared" si="4"/>
        <v>7356</v>
      </c>
      <c r="L68">
        <f t="shared" si="5"/>
        <v>7826</v>
      </c>
      <c r="M68">
        <f t="shared" si="6"/>
        <v>7757.5</v>
      </c>
    </row>
    <row r="69" spans="1:13" x14ac:dyDescent="0.3">
      <c r="A69" s="2">
        <f>[1]HHS_Unaccompanied_Alien_Childre!G69</f>
        <v>45047</v>
      </c>
      <c r="B69">
        <f>[2]HHS_Unaccompanied_Alien_Childre!B69</f>
        <v>224</v>
      </c>
      <c r="C69">
        <f>[3]HHS_Unaccompanied_Alien_Childre!C69</f>
        <v>315</v>
      </c>
      <c r="D69">
        <f>[2]HHS_Unaccompanied_Alien_Childre!D69</f>
        <v>152</v>
      </c>
      <c r="E69">
        <f>[2]HHS_Unaccompanied_Alien_Childre!E69</f>
        <v>8492</v>
      </c>
      <c r="F69">
        <f>[3]HHS_Unaccompanied_Alien_Childre!F69</f>
        <v>237</v>
      </c>
      <c r="G69">
        <f t="shared" si="8"/>
        <v>140</v>
      </c>
      <c r="H69" t="str">
        <f t="shared" si="9"/>
        <v>Increase</v>
      </c>
      <c r="I69">
        <f t="shared" si="7"/>
        <v>72</v>
      </c>
      <c r="J69">
        <f t="shared" si="3"/>
        <v>8492</v>
      </c>
      <c r="K69">
        <f t="shared" si="4"/>
        <v>7490</v>
      </c>
      <c r="L69">
        <f t="shared" si="5"/>
        <v>7922</v>
      </c>
      <c r="M69">
        <f t="shared" si="6"/>
        <v>7921</v>
      </c>
    </row>
    <row r="70" spans="1:13" x14ac:dyDescent="0.3">
      <c r="A70" s="2">
        <f>[1]HHS_Unaccompanied_Alien_Childre!G70</f>
        <v>45048</v>
      </c>
      <c r="B70">
        <f>[2]HHS_Unaccompanied_Alien_Childre!B70</f>
        <v>167</v>
      </c>
      <c r="C70">
        <f>[3]HHS_Unaccompanied_Alien_Childre!C70</f>
        <v>326</v>
      </c>
      <c r="D70">
        <f>[2]HHS_Unaccompanied_Alien_Childre!D70</f>
        <v>213</v>
      </c>
      <c r="E70">
        <f>[2]HHS_Unaccompanied_Alien_Childre!E70</f>
        <v>8654</v>
      </c>
      <c r="F70">
        <f>[3]HHS_Unaccompanied_Alien_Childre!F70</f>
        <v>245</v>
      </c>
      <c r="G70">
        <f t="shared" si="8"/>
        <v>162</v>
      </c>
      <c r="H70" t="str">
        <f t="shared" si="9"/>
        <v>Increase</v>
      </c>
      <c r="I70">
        <f t="shared" si="7"/>
        <v>-46</v>
      </c>
      <c r="J70">
        <f t="shared" si="3"/>
        <v>8654</v>
      </c>
      <c r="K70">
        <f t="shared" si="4"/>
        <v>7534</v>
      </c>
      <c r="L70">
        <f t="shared" si="5"/>
        <v>7876</v>
      </c>
      <c r="M70">
        <f t="shared" si="6"/>
        <v>8013</v>
      </c>
    </row>
    <row r="71" spans="1:13" x14ac:dyDescent="0.3">
      <c r="A71" s="2">
        <f>[1]HHS_Unaccompanied_Alien_Childre!G71</f>
        <v>45049</v>
      </c>
      <c r="B71">
        <f>[2]HHS_Unaccompanied_Alien_Childre!B71</f>
        <v>209</v>
      </c>
      <c r="C71">
        <f>[3]HHS_Unaccompanied_Alien_Childre!C71</f>
        <v>353</v>
      </c>
      <c r="D71">
        <f>[2]HHS_Unaccompanied_Alien_Childre!D71</f>
        <v>232</v>
      </c>
      <c r="E71">
        <f>[2]HHS_Unaccompanied_Alien_Childre!E71</f>
        <v>8704</v>
      </c>
      <c r="F71">
        <f>[3]HHS_Unaccompanied_Alien_Childre!F71</f>
        <v>267</v>
      </c>
      <c r="G71">
        <f t="shared" si="8"/>
        <v>50</v>
      </c>
      <c r="H71" t="str">
        <f t="shared" si="9"/>
        <v>Increase</v>
      </c>
      <c r="I71">
        <f t="shared" si="7"/>
        <v>-23</v>
      </c>
      <c r="J71">
        <f t="shared" si="3"/>
        <v>8704</v>
      </c>
      <c r="K71">
        <f t="shared" si="4"/>
        <v>7796</v>
      </c>
      <c r="L71">
        <f t="shared" si="5"/>
        <v>7795</v>
      </c>
      <c r="M71">
        <f t="shared" si="6"/>
        <v>8225</v>
      </c>
    </row>
    <row r="72" spans="1:13" x14ac:dyDescent="0.3">
      <c r="A72" s="2">
        <f>[1]HHS_Unaccompanied_Alien_Childre!G72</f>
        <v>45050</v>
      </c>
      <c r="B72">
        <f>[2]HHS_Unaccompanied_Alien_Childre!B72</f>
        <v>153</v>
      </c>
      <c r="C72">
        <f>[3]HHS_Unaccompanied_Alien_Childre!C72</f>
        <v>253</v>
      </c>
      <c r="D72">
        <f>[2]HHS_Unaccompanied_Alien_Childre!D72</f>
        <v>286</v>
      </c>
      <c r="E72">
        <f>[2]HHS_Unaccompanied_Alien_Childre!E72</f>
        <v>8790</v>
      </c>
      <c r="F72">
        <f>[3]HHS_Unaccompanied_Alien_Childre!F72</f>
        <v>332</v>
      </c>
      <c r="G72">
        <f t="shared" si="8"/>
        <v>86</v>
      </c>
      <c r="H72" t="str">
        <f t="shared" si="9"/>
        <v>Increase</v>
      </c>
      <c r="I72">
        <f t="shared" si="7"/>
        <v>-133</v>
      </c>
      <c r="J72">
        <f t="shared" si="3"/>
        <v>8790</v>
      </c>
      <c r="K72">
        <f t="shared" si="4"/>
        <v>8017</v>
      </c>
      <c r="L72">
        <f t="shared" si="5"/>
        <v>7380</v>
      </c>
      <c r="M72">
        <f t="shared" si="6"/>
        <v>8360.5</v>
      </c>
    </row>
    <row r="73" spans="1:13" x14ac:dyDescent="0.3">
      <c r="A73" s="2">
        <f>[1]HHS_Unaccompanied_Alien_Childre!G73</f>
        <v>45053</v>
      </c>
      <c r="B73">
        <f>[2]HHS_Unaccompanied_Alien_Childre!B73</f>
        <v>180</v>
      </c>
      <c r="C73">
        <f>[3]HHS_Unaccompanied_Alien_Childre!C73</f>
        <v>337</v>
      </c>
      <c r="D73">
        <f>[2]HHS_Unaccompanied_Alien_Childre!D73</f>
        <v>219</v>
      </c>
      <c r="E73">
        <f>[2]HHS_Unaccompanied_Alien_Childre!E73</f>
        <v>8485</v>
      </c>
      <c r="F73">
        <f>[3]HHS_Unaccompanied_Alien_Childre!F73</f>
        <v>375</v>
      </c>
      <c r="G73">
        <f t="shared" si="8"/>
        <v>-305</v>
      </c>
      <c r="H73" t="str">
        <f t="shared" si="9"/>
        <v>Decrease</v>
      </c>
      <c r="I73">
        <f t="shared" si="7"/>
        <v>-39</v>
      </c>
      <c r="J73">
        <f t="shared" si="3"/>
        <v>8485</v>
      </c>
      <c r="K73">
        <f t="shared" si="4"/>
        <v>8117</v>
      </c>
      <c r="L73">
        <f t="shared" si="5"/>
        <v>7344</v>
      </c>
      <c r="M73">
        <f t="shared" si="6"/>
        <v>8453.5</v>
      </c>
    </row>
    <row r="74" spans="1:13" x14ac:dyDescent="0.3">
      <c r="A74" s="2">
        <f>[1]HHS_Unaccompanied_Alien_Childre!G74</f>
        <v>45054</v>
      </c>
      <c r="B74">
        <f>[2]HHS_Unaccompanied_Alien_Childre!B74</f>
        <v>133</v>
      </c>
      <c r="C74">
        <f>[3]HHS_Unaccompanied_Alien_Childre!C74</f>
        <v>287</v>
      </c>
      <c r="D74">
        <f>[2]HHS_Unaccompanied_Alien_Childre!D74</f>
        <v>189</v>
      </c>
      <c r="E74">
        <f>[2]HHS_Unaccompanied_Alien_Childre!E74</f>
        <v>8590</v>
      </c>
      <c r="F74">
        <f>[3]HHS_Unaccompanied_Alien_Childre!F74</f>
        <v>261</v>
      </c>
      <c r="G74">
        <f t="shared" si="8"/>
        <v>105</v>
      </c>
      <c r="H74" t="str">
        <f t="shared" si="9"/>
        <v>Increase</v>
      </c>
      <c r="I74">
        <f t="shared" si="7"/>
        <v>-56</v>
      </c>
      <c r="J74">
        <f t="shared" si="3"/>
        <v>8590</v>
      </c>
      <c r="K74">
        <f t="shared" si="4"/>
        <v>8159</v>
      </c>
      <c r="L74">
        <f t="shared" si="5"/>
        <v>7376</v>
      </c>
      <c r="M74">
        <f t="shared" si="6"/>
        <v>8322</v>
      </c>
    </row>
    <row r="75" spans="1:13" x14ac:dyDescent="0.3">
      <c r="A75" s="2">
        <f>[1]HHS_Unaccompanied_Alien_Childre!G75</f>
        <v>45055</v>
      </c>
      <c r="B75">
        <f>[2]HHS_Unaccompanied_Alien_Childre!B75</f>
        <v>187</v>
      </c>
      <c r="C75">
        <f>[3]HHS_Unaccompanied_Alien_Childre!C75</f>
        <v>310</v>
      </c>
      <c r="D75">
        <f>[2]HHS_Unaccompanied_Alien_Childre!D75</f>
        <v>247</v>
      </c>
      <c r="E75">
        <f>[2]HHS_Unaccompanied_Alien_Childre!E75</f>
        <v>8606</v>
      </c>
      <c r="F75">
        <f>[3]HHS_Unaccompanied_Alien_Childre!F75</f>
        <v>250</v>
      </c>
      <c r="G75">
        <f t="shared" si="8"/>
        <v>16</v>
      </c>
      <c r="H75" t="str">
        <f t="shared" si="9"/>
        <v>Increase</v>
      </c>
      <c r="I75">
        <f t="shared" si="7"/>
        <v>-60</v>
      </c>
      <c r="J75">
        <f t="shared" si="3"/>
        <v>8606</v>
      </c>
      <c r="K75">
        <f t="shared" si="4"/>
        <v>8352</v>
      </c>
      <c r="L75">
        <f t="shared" si="5"/>
        <v>7356</v>
      </c>
      <c r="M75">
        <f t="shared" si="6"/>
        <v>8471</v>
      </c>
    </row>
    <row r="76" spans="1:13" x14ac:dyDescent="0.3">
      <c r="A76" s="2">
        <f>[1]HHS_Unaccompanied_Alien_Childre!G76</f>
        <v>45056</v>
      </c>
      <c r="B76">
        <f>[2]HHS_Unaccompanied_Alien_Childre!B76</f>
        <v>168</v>
      </c>
      <c r="C76">
        <f>[3]HHS_Unaccompanied_Alien_Childre!C76</f>
        <v>285</v>
      </c>
      <c r="D76">
        <f>[2]HHS_Unaccompanied_Alien_Childre!D76</f>
        <v>210</v>
      </c>
      <c r="E76">
        <f>[2]HHS_Unaccompanied_Alien_Childre!E76</f>
        <v>8681</v>
      </c>
      <c r="F76">
        <f>[3]HHS_Unaccompanied_Alien_Childre!F76</f>
        <v>304</v>
      </c>
      <c r="G76">
        <f t="shared" si="8"/>
        <v>75</v>
      </c>
      <c r="H76" t="str">
        <f t="shared" si="9"/>
        <v>Increase</v>
      </c>
      <c r="I76">
        <f t="shared" si="7"/>
        <v>-42</v>
      </c>
      <c r="J76">
        <f t="shared" si="3"/>
        <v>8681</v>
      </c>
      <c r="K76">
        <f t="shared" si="4"/>
        <v>8492</v>
      </c>
      <c r="L76">
        <f t="shared" si="5"/>
        <v>7490</v>
      </c>
      <c r="M76">
        <f t="shared" si="6"/>
        <v>8549</v>
      </c>
    </row>
    <row r="77" spans="1:13" x14ac:dyDescent="0.3">
      <c r="A77" s="2">
        <f>[1]HHS_Unaccompanied_Alien_Childre!G77</f>
        <v>45057</v>
      </c>
      <c r="B77">
        <f>[2]HHS_Unaccompanied_Alien_Childre!B77</f>
        <v>269</v>
      </c>
      <c r="C77">
        <f>[3]HHS_Unaccompanied_Alien_Childre!C77</f>
        <v>412</v>
      </c>
      <c r="D77">
        <f>[2]HHS_Unaccompanied_Alien_Childre!D77</f>
        <v>204</v>
      </c>
      <c r="E77">
        <f>[2]HHS_Unaccompanied_Alien_Childre!E77</f>
        <v>8672</v>
      </c>
      <c r="F77">
        <f>[3]HHS_Unaccompanied_Alien_Childre!F77</f>
        <v>392</v>
      </c>
      <c r="G77">
        <f t="shared" si="8"/>
        <v>-9</v>
      </c>
      <c r="H77" t="str">
        <f t="shared" si="9"/>
        <v>Decrease</v>
      </c>
      <c r="I77">
        <f t="shared" si="7"/>
        <v>65</v>
      </c>
      <c r="J77">
        <f t="shared" si="3"/>
        <v>8672</v>
      </c>
      <c r="K77">
        <f t="shared" si="4"/>
        <v>8654</v>
      </c>
      <c r="L77">
        <f t="shared" si="5"/>
        <v>7534</v>
      </c>
      <c r="M77">
        <f t="shared" si="6"/>
        <v>8667.5</v>
      </c>
    </row>
    <row r="78" spans="1:13" x14ac:dyDescent="0.3">
      <c r="A78" s="2">
        <f>[1]HHS_Unaccompanied_Alien_Childre!G78</f>
        <v>45060</v>
      </c>
      <c r="B78">
        <f>[2]HHS_Unaccompanied_Alien_Childre!B78</f>
        <v>100</v>
      </c>
      <c r="C78">
        <f>[3]HHS_Unaccompanied_Alien_Childre!C78</f>
        <v>255</v>
      </c>
      <c r="D78">
        <f>[2]HHS_Unaccompanied_Alien_Childre!D78</f>
        <v>236</v>
      </c>
      <c r="E78">
        <f>[2]HHS_Unaccompanied_Alien_Childre!E78</f>
        <v>8445</v>
      </c>
      <c r="F78">
        <f>[3]HHS_Unaccompanied_Alien_Childre!F78</f>
        <v>288</v>
      </c>
      <c r="G78">
        <f t="shared" si="8"/>
        <v>-227</v>
      </c>
      <c r="H78" t="str">
        <f t="shared" si="9"/>
        <v>Decrease</v>
      </c>
      <c r="I78">
        <f t="shared" si="7"/>
        <v>-136</v>
      </c>
      <c r="J78">
        <f t="shared" si="3"/>
        <v>8445</v>
      </c>
      <c r="K78">
        <f t="shared" si="4"/>
        <v>8704</v>
      </c>
      <c r="L78">
        <f t="shared" si="5"/>
        <v>7796</v>
      </c>
      <c r="M78">
        <f t="shared" si="6"/>
        <v>8688</v>
      </c>
    </row>
    <row r="79" spans="1:13" x14ac:dyDescent="0.3">
      <c r="A79" s="2">
        <f>[1]HHS_Unaccompanied_Alien_Childre!G79</f>
        <v>45061</v>
      </c>
      <c r="B79">
        <f>[2]HHS_Unaccompanied_Alien_Childre!B79</f>
        <v>205</v>
      </c>
      <c r="C79">
        <f>[3]HHS_Unaccompanied_Alien_Childre!C79</f>
        <v>294</v>
      </c>
      <c r="D79">
        <f>[2]HHS_Unaccompanied_Alien_Childre!D79</f>
        <v>177</v>
      </c>
      <c r="E79">
        <f>[2]HHS_Unaccompanied_Alien_Childre!E79</f>
        <v>8571</v>
      </c>
      <c r="F79">
        <f>[3]HHS_Unaccompanied_Alien_Childre!F79</f>
        <v>277</v>
      </c>
      <c r="G79">
        <f t="shared" si="8"/>
        <v>126</v>
      </c>
      <c r="H79" t="str">
        <f t="shared" si="9"/>
        <v>Increase</v>
      </c>
      <c r="I79">
        <f t="shared" si="7"/>
        <v>28</v>
      </c>
      <c r="J79">
        <f t="shared" si="3"/>
        <v>8571</v>
      </c>
      <c r="K79">
        <f t="shared" si="4"/>
        <v>8790</v>
      </c>
      <c r="L79">
        <f t="shared" si="5"/>
        <v>8017</v>
      </c>
      <c r="M79">
        <f t="shared" si="6"/>
        <v>8617.5</v>
      </c>
    </row>
    <row r="80" spans="1:13" x14ac:dyDescent="0.3">
      <c r="A80" s="2">
        <f>[1]HHS_Unaccompanied_Alien_Childre!G80</f>
        <v>45062</v>
      </c>
      <c r="B80">
        <f>[2]HHS_Unaccompanied_Alien_Childre!B80</f>
        <v>161</v>
      </c>
      <c r="C80">
        <f>[3]HHS_Unaccompanied_Alien_Childre!C80</f>
        <v>304</v>
      </c>
      <c r="D80">
        <f>[2]HHS_Unaccompanied_Alien_Childre!D80</f>
        <v>211</v>
      </c>
      <c r="E80">
        <f>[2]HHS_Unaccompanied_Alien_Childre!E80</f>
        <v>8572</v>
      </c>
      <c r="F80">
        <f>[3]HHS_Unaccompanied_Alien_Childre!F80</f>
        <v>272</v>
      </c>
      <c r="G80">
        <f t="shared" si="8"/>
        <v>1</v>
      </c>
      <c r="H80" t="str">
        <f t="shared" si="9"/>
        <v>Increase</v>
      </c>
      <c r="I80">
        <f t="shared" si="7"/>
        <v>-50</v>
      </c>
      <c r="J80">
        <f t="shared" si="3"/>
        <v>8572</v>
      </c>
      <c r="K80">
        <f t="shared" si="4"/>
        <v>8485</v>
      </c>
      <c r="L80">
        <f t="shared" si="5"/>
        <v>8117</v>
      </c>
      <c r="M80">
        <f t="shared" si="6"/>
        <v>8528</v>
      </c>
    </row>
    <row r="81" spans="1:13" x14ac:dyDescent="0.3">
      <c r="A81" s="2">
        <f>[1]HHS_Unaccompanied_Alien_Childre!G81</f>
        <v>45063</v>
      </c>
      <c r="B81">
        <f>[2]HHS_Unaccompanied_Alien_Childre!B81</f>
        <v>57</v>
      </c>
      <c r="C81">
        <f>[3]HHS_Unaccompanied_Alien_Childre!C81</f>
        <v>162</v>
      </c>
      <c r="D81">
        <f>[2]HHS_Unaccompanied_Alien_Childre!D81</f>
        <v>193</v>
      </c>
      <c r="E81">
        <f>[2]HHS_Unaccompanied_Alien_Childre!E81</f>
        <v>8569</v>
      </c>
      <c r="F81">
        <f>[3]HHS_Unaccompanied_Alien_Childre!F81</f>
        <v>307</v>
      </c>
      <c r="G81">
        <f t="shared" si="8"/>
        <v>-3</v>
      </c>
      <c r="H81" t="str">
        <f t="shared" si="9"/>
        <v>Decrease</v>
      </c>
      <c r="I81">
        <f t="shared" si="7"/>
        <v>-136</v>
      </c>
      <c r="J81">
        <f t="shared" ref="J81:J144" si="10">E81</f>
        <v>8569</v>
      </c>
      <c r="K81">
        <f t="shared" ref="K81:K144" si="11">E74</f>
        <v>8590</v>
      </c>
      <c r="L81">
        <f t="shared" ref="L81:L144" si="12">E67</f>
        <v>8159</v>
      </c>
      <c r="M81">
        <f t="shared" ref="M81:M144" si="13">AVERAGE(E74,E80)</f>
        <v>8581</v>
      </c>
    </row>
    <row r="82" spans="1:13" x14ac:dyDescent="0.3">
      <c r="A82" s="2">
        <f>[1]HHS_Unaccompanied_Alien_Childre!G82</f>
        <v>45064</v>
      </c>
      <c r="B82">
        <f>[2]HHS_Unaccompanied_Alien_Childre!B82</f>
        <v>80</v>
      </c>
      <c r="C82">
        <f>[3]HHS_Unaccompanied_Alien_Childre!C82</f>
        <v>122</v>
      </c>
      <c r="D82">
        <f>[2]HHS_Unaccompanied_Alien_Childre!D82</f>
        <v>152</v>
      </c>
      <c r="E82">
        <f>[2]HHS_Unaccompanied_Alien_Childre!E82</f>
        <v>8474</v>
      </c>
      <c r="F82">
        <f>[3]HHS_Unaccompanied_Alien_Childre!F82</f>
        <v>351</v>
      </c>
      <c r="G82">
        <f t="shared" si="8"/>
        <v>-95</v>
      </c>
      <c r="H82" t="str">
        <f t="shared" si="9"/>
        <v>Decrease</v>
      </c>
      <c r="I82">
        <f t="shared" si="7"/>
        <v>-72</v>
      </c>
      <c r="J82">
        <f t="shared" si="10"/>
        <v>8474</v>
      </c>
      <c r="K82">
        <f t="shared" si="11"/>
        <v>8606</v>
      </c>
      <c r="L82">
        <f t="shared" si="12"/>
        <v>8352</v>
      </c>
      <c r="M82">
        <f t="shared" si="13"/>
        <v>8587.5</v>
      </c>
    </row>
    <row r="83" spans="1:13" x14ac:dyDescent="0.3">
      <c r="A83" s="2">
        <f>[1]HHS_Unaccompanied_Alien_Childre!G83</f>
        <v>45067</v>
      </c>
      <c r="B83">
        <f>[2]HHS_Unaccompanied_Alien_Childre!B83</f>
        <v>107</v>
      </c>
      <c r="C83">
        <f>[3]HHS_Unaccompanied_Alien_Childre!C83</f>
        <v>170</v>
      </c>
      <c r="D83">
        <f>[2]HHS_Unaccompanied_Alien_Childre!D83</f>
        <v>133</v>
      </c>
      <c r="E83">
        <f>[2]HHS_Unaccompanied_Alien_Childre!E83</f>
        <v>7826</v>
      </c>
      <c r="F83">
        <f>[3]HHS_Unaccompanied_Alien_Childre!F83</f>
        <v>343</v>
      </c>
      <c r="G83">
        <f t="shared" si="8"/>
        <v>-648</v>
      </c>
      <c r="H83" t="str">
        <f t="shared" si="9"/>
        <v>Decrease</v>
      </c>
      <c r="I83">
        <f t="shared" si="7"/>
        <v>-26</v>
      </c>
      <c r="J83">
        <f t="shared" si="10"/>
        <v>7826</v>
      </c>
      <c r="K83">
        <f t="shared" si="11"/>
        <v>8681</v>
      </c>
      <c r="L83">
        <f t="shared" si="12"/>
        <v>8492</v>
      </c>
      <c r="M83">
        <f t="shared" si="13"/>
        <v>8577.5</v>
      </c>
    </row>
    <row r="84" spans="1:13" x14ac:dyDescent="0.3">
      <c r="A84" s="2">
        <f>[1]HHS_Unaccompanied_Alien_Childre!G84</f>
        <v>45068</v>
      </c>
      <c r="B84">
        <f>[2]HHS_Unaccompanied_Alien_Childre!B84</f>
        <v>99</v>
      </c>
      <c r="C84">
        <f>[3]HHS_Unaccompanied_Alien_Childre!C84</f>
        <v>156</v>
      </c>
      <c r="D84">
        <f>[2]HHS_Unaccompanied_Alien_Childre!D84</f>
        <v>139</v>
      </c>
      <c r="E84">
        <f>[2]HHS_Unaccompanied_Alien_Childre!E84</f>
        <v>7848</v>
      </c>
      <c r="F84">
        <f>[3]HHS_Unaccompanied_Alien_Childre!F84</f>
        <v>240</v>
      </c>
      <c r="G84">
        <f t="shared" si="8"/>
        <v>22</v>
      </c>
      <c r="H84" t="str">
        <f t="shared" si="9"/>
        <v>Increase</v>
      </c>
      <c r="I84">
        <f t="shared" si="7"/>
        <v>-40</v>
      </c>
      <c r="J84">
        <f t="shared" si="10"/>
        <v>7848</v>
      </c>
      <c r="K84">
        <f t="shared" si="11"/>
        <v>8672</v>
      </c>
      <c r="L84">
        <f t="shared" si="12"/>
        <v>8654</v>
      </c>
      <c r="M84">
        <f t="shared" si="13"/>
        <v>8249</v>
      </c>
    </row>
    <row r="85" spans="1:13" x14ac:dyDescent="0.3">
      <c r="A85" s="2">
        <f>[1]HHS_Unaccompanied_Alien_Childre!G85</f>
        <v>45069</v>
      </c>
      <c r="B85">
        <f>[2]HHS_Unaccompanied_Alien_Childre!B85</f>
        <v>25</v>
      </c>
      <c r="C85">
        <f>[3]HHS_Unaccompanied_Alien_Childre!C85</f>
        <v>66</v>
      </c>
      <c r="D85">
        <f>[2]HHS_Unaccompanied_Alien_Childre!D85</f>
        <v>94</v>
      </c>
      <c r="E85">
        <f>[2]HHS_Unaccompanied_Alien_Childre!E85</f>
        <v>7788</v>
      </c>
      <c r="F85">
        <f>[3]HHS_Unaccompanied_Alien_Childre!F85</f>
        <v>246</v>
      </c>
      <c r="G85">
        <f t="shared" si="8"/>
        <v>-60</v>
      </c>
      <c r="H85" t="str">
        <f t="shared" si="9"/>
        <v>Decrease</v>
      </c>
      <c r="I85">
        <f t="shared" si="7"/>
        <v>-69</v>
      </c>
      <c r="J85">
        <f t="shared" si="10"/>
        <v>7788</v>
      </c>
      <c r="K85">
        <f t="shared" si="11"/>
        <v>8445</v>
      </c>
      <c r="L85">
        <f t="shared" si="12"/>
        <v>8704</v>
      </c>
      <c r="M85">
        <f t="shared" si="13"/>
        <v>8146.5</v>
      </c>
    </row>
    <row r="86" spans="1:13" x14ac:dyDescent="0.3">
      <c r="A86" s="2">
        <f>[1]HHS_Unaccompanied_Alien_Childre!G86</f>
        <v>45070</v>
      </c>
      <c r="B86">
        <f>[2]HHS_Unaccompanied_Alien_Childre!B86</f>
        <v>35</v>
      </c>
      <c r="C86">
        <f>[3]HHS_Unaccompanied_Alien_Childre!C86</f>
        <v>70</v>
      </c>
      <c r="D86">
        <f>[2]HHS_Unaccompanied_Alien_Childre!D86</f>
        <v>53</v>
      </c>
      <c r="E86">
        <f>[2]HHS_Unaccompanied_Alien_Childre!E86</f>
        <v>7709</v>
      </c>
      <c r="F86">
        <f>[3]HHS_Unaccompanied_Alien_Childre!F86</f>
        <v>276</v>
      </c>
      <c r="G86">
        <f t="shared" si="8"/>
        <v>-79</v>
      </c>
      <c r="H86" t="str">
        <f t="shared" si="9"/>
        <v>Decrease</v>
      </c>
      <c r="I86">
        <f t="shared" si="7"/>
        <v>-18</v>
      </c>
      <c r="J86">
        <f t="shared" si="10"/>
        <v>7709</v>
      </c>
      <c r="K86">
        <f t="shared" si="11"/>
        <v>8571</v>
      </c>
      <c r="L86">
        <f t="shared" si="12"/>
        <v>8790</v>
      </c>
      <c r="M86">
        <f t="shared" si="13"/>
        <v>8179.5</v>
      </c>
    </row>
    <row r="87" spans="1:13" x14ac:dyDescent="0.3">
      <c r="A87" s="2">
        <f>[1]HHS_Unaccompanied_Alien_Childre!G87</f>
        <v>45071</v>
      </c>
      <c r="B87">
        <f>[2]HHS_Unaccompanied_Alien_Childre!B87</f>
        <v>43</v>
      </c>
      <c r="C87">
        <f>[3]HHS_Unaccompanied_Alien_Childre!C87</f>
        <v>73</v>
      </c>
      <c r="D87">
        <f>[2]HHS_Unaccompanied_Alien_Childre!D87</f>
        <v>64</v>
      </c>
      <c r="E87">
        <f>[2]HHS_Unaccompanied_Alien_Childre!E87</f>
        <v>7546</v>
      </c>
      <c r="F87">
        <f>[3]HHS_Unaccompanied_Alien_Childre!F87</f>
        <v>408</v>
      </c>
      <c r="G87">
        <f t="shared" si="8"/>
        <v>-163</v>
      </c>
      <c r="H87" t="str">
        <f t="shared" si="9"/>
        <v>Decrease</v>
      </c>
      <c r="I87">
        <f t="shared" si="7"/>
        <v>-21</v>
      </c>
      <c r="J87">
        <f t="shared" si="10"/>
        <v>7546</v>
      </c>
      <c r="K87">
        <f t="shared" si="11"/>
        <v>8572</v>
      </c>
      <c r="L87">
        <f t="shared" si="12"/>
        <v>8485</v>
      </c>
      <c r="M87">
        <f t="shared" si="13"/>
        <v>8140.5</v>
      </c>
    </row>
    <row r="88" spans="1:13" x14ac:dyDescent="0.3">
      <c r="A88" s="2">
        <f>[1]HHS_Unaccompanied_Alien_Childre!G88</f>
        <v>45075</v>
      </c>
      <c r="B88">
        <f>[2]HHS_Unaccompanied_Alien_Childre!B88</f>
        <v>41</v>
      </c>
      <c r="C88">
        <f>[3]HHS_Unaccompanied_Alien_Childre!C88</f>
        <v>60</v>
      </c>
      <c r="D88">
        <f>[2]HHS_Unaccompanied_Alien_Childre!D88</f>
        <v>71</v>
      </c>
      <c r="E88">
        <f>[2]HHS_Unaccompanied_Alien_Childre!E88</f>
        <v>6996</v>
      </c>
      <c r="F88">
        <f>[3]HHS_Unaccompanied_Alien_Childre!F88</f>
        <v>207</v>
      </c>
      <c r="G88">
        <f t="shared" si="8"/>
        <v>-550</v>
      </c>
      <c r="H88" t="str">
        <f t="shared" si="9"/>
        <v>Decrease</v>
      </c>
      <c r="I88">
        <f t="shared" si="7"/>
        <v>-30</v>
      </c>
      <c r="J88">
        <f t="shared" si="10"/>
        <v>6996</v>
      </c>
      <c r="K88">
        <f t="shared" si="11"/>
        <v>8569</v>
      </c>
      <c r="L88">
        <f t="shared" si="12"/>
        <v>8590</v>
      </c>
      <c r="M88">
        <f t="shared" si="13"/>
        <v>8057.5</v>
      </c>
    </row>
    <row r="89" spans="1:13" x14ac:dyDescent="0.3">
      <c r="A89" s="2">
        <f>[1]HHS_Unaccompanied_Alien_Childre!G89</f>
        <v>45076</v>
      </c>
      <c r="B89">
        <f>[2]HHS_Unaccompanied_Alien_Childre!B89</f>
        <v>65</v>
      </c>
      <c r="C89">
        <f>[3]HHS_Unaccompanied_Alien_Childre!C89</f>
        <v>83</v>
      </c>
      <c r="D89">
        <f>[2]HHS_Unaccompanied_Alien_Childre!D89</f>
        <v>65</v>
      </c>
      <c r="E89">
        <f>[2]HHS_Unaccompanied_Alien_Childre!E89</f>
        <v>7046</v>
      </c>
      <c r="F89">
        <f>[3]HHS_Unaccompanied_Alien_Childre!F89</f>
        <v>168</v>
      </c>
      <c r="G89">
        <f t="shared" si="8"/>
        <v>50</v>
      </c>
      <c r="H89" t="str">
        <f t="shared" si="9"/>
        <v>Increase</v>
      </c>
      <c r="I89">
        <f t="shared" si="7"/>
        <v>0</v>
      </c>
      <c r="J89">
        <f t="shared" si="10"/>
        <v>7046</v>
      </c>
      <c r="K89">
        <f t="shared" si="11"/>
        <v>8474</v>
      </c>
      <c r="L89">
        <f t="shared" si="12"/>
        <v>8606</v>
      </c>
      <c r="M89">
        <f t="shared" si="13"/>
        <v>7735</v>
      </c>
    </row>
    <row r="90" spans="1:13" x14ac:dyDescent="0.3">
      <c r="A90" s="2">
        <f>[1]HHS_Unaccompanied_Alien_Childre!G90</f>
        <v>45077</v>
      </c>
      <c r="B90">
        <f>[2]HHS_Unaccompanied_Alien_Childre!B90</f>
        <v>38</v>
      </c>
      <c r="C90">
        <f>[3]HHS_Unaccompanied_Alien_Childre!C90</f>
        <v>80</v>
      </c>
      <c r="D90">
        <f>[2]HHS_Unaccompanied_Alien_Childre!D90</f>
        <v>82</v>
      </c>
      <c r="E90">
        <f>[2]HHS_Unaccompanied_Alien_Childre!E90</f>
        <v>7053</v>
      </c>
      <c r="F90">
        <f>[3]HHS_Unaccompanied_Alien_Childre!F90</f>
        <v>210</v>
      </c>
      <c r="G90">
        <f t="shared" si="8"/>
        <v>7</v>
      </c>
      <c r="H90" t="str">
        <f t="shared" si="9"/>
        <v>Increase</v>
      </c>
      <c r="I90">
        <f t="shared" si="7"/>
        <v>-44</v>
      </c>
      <c r="J90">
        <f t="shared" si="10"/>
        <v>7053</v>
      </c>
      <c r="K90">
        <f t="shared" si="11"/>
        <v>7826</v>
      </c>
      <c r="L90">
        <f t="shared" si="12"/>
        <v>8681</v>
      </c>
      <c r="M90">
        <f t="shared" si="13"/>
        <v>7436</v>
      </c>
    </row>
    <row r="91" spans="1:13" x14ac:dyDescent="0.3">
      <c r="A91" s="2">
        <f>[1]HHS_Unaccompanied_Alien_Childre!G91</f>
        <v>45078</v>
      </c>
      <c r="B91">
        <f>[2]HHS_Unaccompanied_Alien_Childre!B91</f>
        <v>56</v>
      </c>
      <c r="C91">
        <f>[3]HHS_Unaccompanied_Alien_Childre!C91</f>
        <v>82</v>
      </c>
      <c r="D91">
        <f>[2]HHS_Unaccompanied_Alien_Childre!D91</f>
        <v>68</v>
      </c>
      <c r="E91">
        <f>[2]HHS_Unaccompanied_Alien_Childre!E91</f>
        <v>7002</v>
      </c>
      <c r="F91">
        <f>[3]HHS_Unaccompanied_Alien_Childre!F91</f>
        <v>287</v>
      </c>
      <c r="G91">
        <f t="shared" si="8"/>
        <v>-51</v>
      </c>
      <c r="H91" t="str">
        <f t="shared" si="9"/>
        <v>Decrease</v>
      </c>
      <c r="I91">
        <f t="shared" si="7"/>
        <v>-12</v>
      </c>
      <c r="J91">
        <f t="shared" si="10"/>
        <v>7002</v>
      </c>
      <c r="K91">
        <f t="shared" si="11"/>
        <v>7848</v>
      </c>
      <c r="L91">
        <f t="shared" si="12"/>
        <v>8672</v>
      </c>
      <c r="M91">
        <f t="shared" si="13"/>
        <v>7450.5</v>
      </c>
    </row>
    <row r="92" spans="1:13" x14ac:dyDescent="0.3">
      <c r="A92" s="2">
        <f>[1]HHS_Unaccompanied_Alien_Childre!G92</f>
        <v>45081</v>
      </c>
      <c r="B92">
        <f>[2]HHS_Unaccompanied_Alien_Childre!B92</f>
        <v>74</v>
      </c>
      <c r="C92">
        <f>[3]HHS_Unaccompanied_Alien_Childre!C92</f>
        <v>103</v>
      </c>
      <c r="D92">
        <f>[2]HHS_Unaccompanied_Alien_Childre!D92</f>
        <v>80</v>
      </c>
      <c r="E92">
        <f>[2]HHS_Unaccompanied_Alien_Childre!E92</f>
        <v>6555</v>
      </c>
      <c r="F92">
        <f>[3]HHS_Unaccompanied_Alien_Childre!F92</f>
        <v>292</v>
      </c>
      <c r="G92">
        <f t="shared" si="8"/>
        <v>-447</v>
      </c>
      <c r="H92" t="str">
        <f t="shared" si="9"/>
        <v>Decrease</v>
      </c>
      <c r="I92">
        <f t="shared" si="7"/>
        <v>-6</v>
      </c>
      <c r="J92">
        <f t="shared" si="10"/>
        <v>6555</v>
      </c>
      <c r="K92">
        <f t="shared" si="11"/>
        <v>7788</v>
      </c>
      <c r="L92">
        <f t="shared" si="12"/>
        <v>8445</v>
      </c>
      <c r="M92">
        <f t="shared" si="13"/>
        <v>7395</v>
      </c>
    </row>
    <row r="93" spans="1:13" x14ac:dyDescent="0.3">
      <c r="A93" s="2">
        <f>[1]HHS_Unaccompanied_Alien_Childre!G93</f>
        <v>45082</v>
      </c>
      <c r="B93">
        <f>[2]HHS_Unaccompanied_Alien_Childre!B93</f>
        <v>68</v>
      </c>
      <c r="C93">
        <f>[3]HHS_Unaccompanied_Alien_Childre!C93</f>
        <v>107</v>
      </c>
      <c r="D93">
        <f>[2]HHS_Unaccompanied_Alien_Childre!D93</f>
        <v>102</v>
      </c>
      <c r="E93">
        <f>[2]HHS_Unaccompanied_Alien_Childre!E93</f>
        <v>6523</v>
      </c>
      <c r="F93">
        <f>[3]HHS_Unaccompanied_Alien_Childre!F93</f>
        <v>189</v>
      </c>
      <c r="G93">
        <f t="shared" si="8"/>
        <v>-32</v>
      </c>
      <c r="H93" t="str">
        <f t="shared" si="9"/>
        <v>Decrease</v>
      </c>
      <c r="I93">
        <f t="shared" si="7"/>
        <v>-34</v>
      </c>
      <c r="J93">
        <f t="shared" si="10"/>
        <v>6523</v>
      </c>
      <c r="K93">
        <f t="shared" si="11"/>
        <v>7709</v>
      </c>
      <c r="L93">
        <f t="shared" si="12"/>
        <v>8571</v>
      </c>
      <c r="M93">
        <f t="shared" si="13"/>
        <v>7132</v>
      </c>
    </row>
    <row r="94" spans="1:13" x14ac:dyDescent="0.3">
      <c r="A94" s="2">
        <f>[1]HHS_Unaccompanied_Alien_Childre!G94</f>
        <v>45083</v>
      </c>
      <c r="B94">
        <f>[2]HHS_Unaccompanied_Alien_Childre!B94</f>
        <v>92</v>
      </c>
      <c r="C94">
        <f>[3]HHS_Unaccompanied_Alien_Childre!C94</f>
        <v>124</v>
      </c>
      <c r="D94">
        <f>[2]HHS_Unaccompanied_Alien_Childre!D94</f>
        <v>93</v>
      </c>
      <c r="E94">
        <f>[2]HHS_Unaccompanied_Alien_Childre!E94</f>
        <v>6508</v>
      </c>
      <c r="F94">
        <f>[3]HHS_Unaccompanied_Alien_Childre!F94</f>
        <v>187</v>
      </c>
      <c r="G94">
        <f t="shared" si="8"/>
        <v>-15</v>
      </c>
      <c r="H94" t="str">
        <f t="shared" si="9"/>
        <v>Decrease</v>
      </c>
      <c r="I94">
        <f t="shared" si="7"/>
        <v>-1</v>
      </c>
      <c r="J94">
        <f t="shared" si="10"/>
        <v>6508</v>
      </c>
      <c r="K94">
        <f t="shared" si="11"/>
        <v>7546</v>
      </c>
      <c r="L94">
        <f t="shared" si="12"/>
        <v>8572</v>
      </c>
      <c r="M94">
        <f t="shared" si="13"/>
        <v>7034.5</v>
      </c>
    </row>
    <row r="95" spans="1:13" x14ac:dyDescent="0.3">
      <c r="A95" s="2">
        <f>[1]HHS_Unaccompanied_Alien_Childre!G95</f>
        <v>45084</v>
      </c>
      <c r="B95">
        <f>[2]HHS_Unaccompanied_Alien_Childre!B95</f>
        <v>113</v>
      </c>
      <c r="C95">
        <f>[3]HHS_Unaccompanied_Alien_Childre!C95</f>
        <v>162</v>
      </c>
      <c r="D95">
        <f>[2]HHS_Unaccompanied_Alien_Childre!D95</f>
        <v>107</v>
      </c>
      <c r="E95">
        <f>[2]HHS_Unaccompanied_Alien_Childre!E95</f>
        <v>6483</v>
      </c>
      <c r="F95">
        <f>[3]HHS_Unaccompanied_Alien_Childre!F95</f>
        <v>208</v>
      </c>
      <c r="G95">
        <f t="shared" si="8"/>
        <v>-25</v>
      </c>
      <c r="H95" t="str">
        <f t="shared" si="9"/>
        <v>Decrease</v>
      </c>
      <c r="I95">
        <f t="shared" si="7"/>
        <v>6</v>
      </c>
      <c r="J95">
        <f t="shared" si="10"/>
        <v>6483</v>
      </c>
      <c r="K95">
        <f t="shared" si="11"/>
        <v>6996</v>
      </c>
      <c r="L95">
        <f t="shared" si="12"/>
        <v>8569</v>
      </c>
      <c r="M95">
        <f t="shared" si="13"/>
        <v>6752</v>
      </c>
    </row>
    <row r="96" spans="1:13" x14ac:dyDescent="0.3">
      <c r="A96" s="2">
        <f>[1]HHS_Unaccompanied_Alien_Childre!G96</f>
        <v>45085</v>
      </c>
      <c r="B96">
        <f>[2]HHS_Unaccompanied_Alien_Childre!B96</f>
        <v>106</v>
      </c>
      <c r="C96">
        <f>[3]HHS_Unaccompanied_Alien_Childre!C96</f>
        <v>196</v>
      </c>
      <c r="D96">
        <f>[2]HHS_Unaccompanied_Alien_Childre!D96</f>
        <v>131</v>
      </c>
      <c r="E96">
        <f>[2]HHS_Unaccompanied_Alien_Childre!E96</f>
        <v>6446</v>
      </c>
      <c r="F96">
        <f>[3]HHS_Unaccompanied_Alien_Childre!F96</f>
        <v>255</v>
      </c>
      <c r="G96">
        <f t="shared" si="8"/>
        <v>-37</v>
      </c>
      <c r="H96" t="str">
        <f t="shared" si="9"/>
        <v>Decrease</v>
      </c>
      <c r="I96">
        <f t="shared" si="7"/>
        <v>-25</v>
      </c>
      <c r="J96">
        <f t="shared" si="10"/>
        <v>6446</v>
      </c>
      <c r="K96">
        <f t="shared" si="11"/>
        <v>7046</v>
      </c>
      <c r="L96">
        <f t="shared" si="12"/>
        <v>8474</v>
      </c>
      <c r="M96">
        <f t="shared" si="13"/>
        <v>6764.5</v>
      </c>
    </row>
    <row r="97" spans="1:13" x14ac:dyDescent="0.3">
      <c r="A97" s="2">
        <f>[1]HHS_Unaccompanied_Alien_Childre!G97</f>
        <v>45088</v>
      </c>
      <c r="B97">
        <f>[2]HHS_Unaccompanied_Alien_Childre!B97</f>
        <v>86</v>
      </c>
      <c r="C97">
        <f>[3]HHS_Unaccompanied_Alien_Childre!C97</f>
        <v>152</v>
      </c>
      <c r="D97">
        <f>[2]HHS_Unaccompanied_Alien_Childre!D97</f>
        <v>168</v>
      </c>
      <c r="E97">
        <f>[2]HHS_Unaccompanied_Alien_Childre!E97</f>
        <v>6007</v>
      </c>
      <c r="F97">
        <f>[3]HHS_Unaccompanied_Alien_Childre!F97</f>
        <v>238</v>
      </c>
      <c r="G97">
        <f t="shared" si="8"/>
        <v>-439</v>
      </c>
      <c r="H97" t="str">
        <f t="shared" si="9"/>
        <v>Decrease</v>
      </c>
      <c r="I97">
        <f t="shared" si="7"/>
        <v>-82</v>
      </c>
      <c r="J97">
        <f t="shared" si="10"/>
        <v>6007</v>
      </c>
      <c r="K97">
        <f t="shared" si="11"/>
        <v>7053</v>
      </c>
      <c r="L97">
        <f t="shared" si="12"/>
        <v>7826</v>
      </c>
      <c r="M97">
        <f t="shared" si="13"/>
        <v>6749.5</v>
      </c>
    </row>
    <row r="98" spans="1:13" x14ac:dyDescent="0.3">
      <c r="A98" s="2">
        <f>[1]HHS_Unaccompanied_Alien_Childre!G98</f>
        <v>45089</v>
      </c>
      <c r="B98">
        <f>[2]HHS_Unaccompanied_Alien_Childre!B98</f>
        <v>84</v>
      </c>
      <c r="C98">
        <f>[3]HHS_Unaccompanied_Alien_Childre!C98</f>
        <v>118</v>
      </c>
      <c r="D98">
        <f>[2]HHS_Unaccompanied_Alien_Childre!D98</f>
        <v>136</v>
      </c>
      <c r="E98">
        <f>[2]HHS_Unaccompanied_Alien_Childre!E98</f>
        <v>6021</v>
      </c>
      <c r="F98">
        <f>[3]HHS_Unaccompanied_Alien_Childre!F98</f>
        <v>177</v>
      </c>
      <c r="G98">
        <f t="shared" si="8"/>
        <v>14</v>
      </c>
      <c r="H98" t="str">
        <f t="shared" si="9"/>
        <v>Increase</v>
      </c>
      <c r="I98">
        <f t="shared" si="7"/>
        <v>-52</v>
      </c>
      <c r="J98">
        <f t="shared" si="10"/>
        <v>6021</v>
      </c>
      <c r="K98">
        <f t="shared" si="11"/>
        <v>7002</v>
      </c>
      <c r="L98">
        <f t="shared" si="12"/>
        <v>7848</v>
      </c>
      <c r="M98">
        <f t="shared" si="13"/>
        <v>6504.5</v>
      </c>
    </row>
    <row r="99" spans="1:13" x14ac:dyDescent="0.3">
      <c r="A99" s="2">
        <f>[1]HHS_Unaccompanied_Alien_Childre!G99</f>
        <v>45090</v>
      </c>
      <c r="B99">
        <f>[2]HHS_Unaccompanied_Alien_Childre!B99</f>
        <v>59</v>
      </c>
      <c r="C99">
        <f>[3]HHS_Unaccompanied_Alien_Childre!C99</f>
        <v>64</v>
      </c>
      <c r="D99">
        <f>[2]HHS_Unaccompanied_Alien_Childre!D99</f>
        <v>117</v>
      </c>
      <c r="E99">
        <f>[2]HHS_Unaccompanied_Alien_Childre!E99</f>
        <v>6061</v>
      </c>
      <c r="F99">
        <f>[3]HHS_Unaccompanied_Alien_Childre!F99</f>
        <v>146</v>
      </c>
      <c r="G99">
        <f t="shared" si="8"/>
        <v>40</v>
      </c>
      <c r="H99" t="str">
        <f t="shared" si="9"/>
        <v>Increase</v>
      </c>
      <c r="I99">
        <f t="shared" si="7"/>
        <v>-58</v>
      </c>
      <c r="J99">
        <f t="shared" si="10"/>
        <v>6061</v>
      </c>
      <c r="K99">
        <f t="shared" si="11"/>
        <v>6555</v>
      </c>
      <c r="L99">
        <f t="shared" si="12"/>
        <v>7788</v>
      </c>
      <c r="M99">
        <f t="shared" si="13"/>
        <v>6288</v>
      </c>
    </row>
    <row r="100" spans="1:13" x14ac:dyDescent="0.3">
      <c r="A100" s="2">
        <f>[1]HHS_Unaccompanied_Alien_Childre!G100</f>
        <v>45091</v>
      </c>
      <c r="B100">
        <f>[2]HHS_Unaccompanied_Alien_Childre!B100</f>
        <v>62</v>
      </c>
      <c r="C100">
        <f>[3]HHS_Unaccompanied_Alien_Childre!C100</f>
        <v>97</v>
      </c>
      <c r="D100">
        <f>[2]HHS_Unaccompanied_Alien_Childre!D100</f>
        <v>52</v>
      </c>
      <c r="E100">
        <f>[2]HHS_Unaccompanied_Alien_Childre!E100</f>
        <v>6065</v>
      </c>
      <c r="F100">
        <f>[3]HHS_Unaccompanied_Alien_Childre!F100</f>
        <v>167</v>
      </c>
      <c r="G100">
        <f t="shared" si="8"/>
        <v>4</v>
      </c>
      <c r="H100" t="str">
        <f t="shared" si="9"/>
        <v>Increase</v>
      </c>
      <c r="I100">
        <f t="shared" si="7"/>
        <v>10</v>
      </c>
      <c r="J100">
        <f t="shared" si="10"/>
        <v>6065</v>
      </c>
      <c r="K100">
        <f t="shared" si="11"/>
        <v>6523</v>
      </c>
      <c r="L100">
        <f t="shared" si="12"/>
        <v>7709</v>
      </c>
      <c r="M100">
        <f t="shared" si="13"/>
        <v>6292</v>
      </c>
    </row>
    <row r="101" spans="1:13" x14ac:dyDescent="0.3">
      <c r="A101" s="2">
        <f>[1]HHS_Unaccompanied_Alien_Childre!G101</f>
        <v>45092</v>
      </c>
      <c r="B101">
        <f>[2]HHS_Unaccompanied_Alien_Childre!B101</f>
        <v>91</v>
      </c>
      <c r="C101">
        <f>[3]HHS_Unaccompanied_Alien_Childre!C101</f>
        <v>75</v>
      </c>
      <c r="D101">
        <f>[2]HHS_Unaccompanied_Alien_Childre!D101</f>
        <v>97</v>
      </c>
      <c r="E101">
        <f>[2]HHS_Unaccompanied_Alien_Childre!E101</f>
        <v>6038</v>
      </c>
      <c r="F101">
        <f>[3]HHS_Unaccompanied_Alien_Childre!F101</f>
        <v>272</v>
      </c>
      <c r="G101">
        <f t="shared" si="8"/>
        <v>-27</v>
      </c>
      <c r="H101" t="str">
        <f t="shared" si="9"/>
        <v>Decrease</v>
      </c>
      <c r="I101">
        <f t="shared" si="7"/>
        <v>-6</v>
      </c>
      <c r="J101">
        <f t="shared" si="10"/>
        <v>6038</v>
      </c>
      <c r="K101">
        <f t="shared" si="11"/>
        <v>6508</v>
      </c>
      <c r="L101">
        <f t="shared" si="12"/>
        <v>7546</v>
      </c>
      <c r="M101">
        <f t="shared" si="13"/>
        <v>6286.5</v>
      </c>
    </row>
    <row r="102" spans="1:13" x14ac:dyDescent="0.3">
      <c r="A102" s="2">
        <f>[1]HHS_Unaccompanied_Alien_Childre!G102</f>
        <v>45096</v>
      </c>
      <c r="B102">
        <f>[2]HHS_Unaccompanied_Alien_Childre!B102</f>
        <v>29</v>
      </c>
      <c r="C102">
        <f>[3]HHS_Unaccompanied_Alien_Childre!C102</f>
        <v>51</v>
      </c>
      <c r="D102">
        <f>[2]HHS_Unaccompanied_Alien_Childre!D102</f>
        <v>11</v>
      </c>
      <c r="E102">
        <f>[2]HHS_Unaccompanied_Alien_Childre!E102</f>
        <v>5679</v>
      </c>
      <c r="F102">
        <f>[3]HHS_Unaccompanied_Alien_Childre!F102</f>
        <v>142</v>
      </c>
      <c r="G102">
        <f t="shared" si="8"/>
        <v>-359</v>
      </c>
      <c r="H102" t="str">
        <f t="shared" si="9"/>
        <v>Decrease</v>
      </c>
      <c r="I102">
        <f t="shared" si="7"/>
        <v>18</v>
      </c>
      <c r="J102">
        <f t="shared" si="10"/>
        <v>5679</v>
      </c>
      <c r="K102">
        <f t="shared" si="11"/>
        <v>6483</v>
      </c>
      <c r="L102">
        <f t="shared" si="12"/>
        <v>6996</v>
      </c>
      <c r="M102">
        <f t="shared" si="13"/>
        <v>6260.5</v>
      </c>
    </row>
    <row r="103" spans="1:13" x14ac:dyDescent="0.3">
      <c r="A103" s="2">
        <f>[1]HHS_Unaccompanied_Alien_Childre!G103</f>
        <v>45097</v>
      </c>
      <c r="B103">
        <f>[2]HHS_Unaccompanied_Alien_Childre!B103</f>
        <v>33</v>
      </c>
      <c r="C103">
        <f>[3]HHS_Unaccompanied_Alien_Childre!C103</f>
        <v>53</v>
      </c>
      <c r="D103">
        <f>[2]HHS_Unaccompanied_Alien_Childre!D103</f>
        <v>34</v>
      </c>
      <c r="E103">
        <f>[2]HHS_Unaccompanied_Alien_Childre!E103</f>
        <v>5904</v>
      </c>
      <c r="F103">
        <f>[3]HHS_Unaccompanied_Alien_Childre!F103</f>
        <v>134</v>
      </c>
      <c r="G103">
        <f t="shared" si="8"/>
        <v>225</v>
      </c>
      <c r="H103" t="str">
        <f t="shared" si="9"/>
        <v>Increase</v>
      </c>
      <c r="I103">
        <f t="shared" si="7"/>
        <v>-1</v>
      </c>
      <c r="J103">
        <f t="shared" si="10"/>
        <v>5904</v>
      </c>
      <c r="K103">
        <f t="shared" si="11"/>
        <v>6446</v>
      </c>
      <c r="L103">
        <f t="shared" si="12"/>
        <v>7046</v>
      </c>
      <c r="M103">
        <f t="shared" si="13"/>
        <v>6062.5</v>
      </c>
    </row>
    <row r="104" spans="1:13" x14ac:dyDescent="0.3">
      <c r="A104" s="2">
        <f>[1]HHS_Unaccompanied_Alien_Childre!G104</f>
        <v>45098</v>
      </c>
      <c r="B104">
        <f>[2]HHS_Unaccompanied_Alien_Childre!B104</f>
        <v>93</v>
      </c>
      <c r="C104">
        <f>[3]HHS_Unaccompanied_Alien_Childre!C104</f>
        <v>196</v>
      </c>
      <c r="D104">
        <f>[2]HHS_Unaccompanied_Alien_Childre!D104</f>
        <v>169</v>
      </c>
      <c r="E104">
        <f>[2]HHS_Unaccompanied_Alien_Childre!E104</f>
        <v>5922</v>
      </c>
      <c r="F104">
        <f>[3]HHS_Unaccompanied_Alien_Childre!F104</f>
        <v>149</v>
      </c>
      <c r="G104">
        <f t="shared" si="8"/>
        <v>18</v>
      </c>
      <c r="H104" t="str">
        <f t="shared" si="9"/>
        <v>Increase</v>
      </c>
      <c r="I104">
        <f t="shared" si="7"/>
        <v>-76</v>
      </c>
      <c r="J104">
        <f t="shared" si="10"/>
        <v>5922</v>
      </c>
      <c r="K104">
        <f t="shared" si="11"/>
        <v>6007</v>
      </c>
      <c r="L104">
        <f t="shared" si="12"/>
        <v>7053</v>
      </c>
      <c r="M104">
        <f t="shared" si="13"/>
        <v>5955.5</v>
      </c>
    </row>
    <row r="105" spans="1:13" x14ac:dyDescent="0.3">
      <c r="A105" s="2">
        <f>[1]HHS_Unaccompanied_Alien_Childre!G105</f>
        <v>45099</v>
      </c>
      <c r="B105">
        <f>[2]HHS_Unaccompanied_Alien_Childre!B105</f>
        <v>124</v>
      </c>
      <c r="C105">
        <f>[3]HHS_Unaccompanied_Alien_Childre!C105</f>
        <v>234</v>
      </c>
      <c r="D105">
        <f>[2]HHS_Unaccompanied_Alien_Childre!D105</f>
        <v>161</v>
      </c>
      <c r="E105">
        <f>[2]HHS_Unaccompanied_Alien_Childre!E105</f>
        <v>5956</v>
      </c>
      <c r="F105">
        <f>[3]HHS_Unaccompanied_Alien_Childre!F105</f>
        <v>207</v>
      </c>
      <c r="G105">
        <f t="shared" si="8"/>
        <v>34</v>
      </c>
      <c r="H105" t="str">
        <f t="shared" si="9"/>
        <v>Increase</v>
      </c>
      <c r="I105">
        <f t="shared" si="7"/>
        <v>-37</v>
      </c>
      <c r="J105">
        <f t="shared" si="10"/>
        <v>5956</v>
      </c>
      <c r="K105">
        <f t="shared" si="11"/>
        <v>6021</v>
      </c>
      <c r="L105">
        <f t="shared" si="12"/>
        <v>7002</v>
      </c>
      <c r="M105">
        <f t="shared" si="13"/>
        <v>5971.5</v>
      </c>
    </row>
    <row r="106" spans="1:13" x14ac:dyDescent="0.3">
      <c r="A106" s="2">
        <f>[1]HHS_Unaccompanied_Alien_Childre!G106</f>
        <v>45102</v>
      </c>
      <c r="B106">
        <f>[2]HHS_Unaccompanied_Alien_Childre!B106</f>
        <v>92</v>
      </c>
      <c r="C106">
        <f>[3]HHS_Unaccompanied_Alien_Childre!C106</f>
        <v>203</v>
      </c>
      <c r="D106">
        <f>[2]HHS_Unaccompanied_Alien_Childre!D106</f>
        <v>173</v>
      </c>
      <c r="E106">
        <f>[2]HHS_Unaccompanied_Alien_Childre!E106</f>
        <v>5766</v>
      </c>
      <c r="F106">
        <f>[3]HHS_Unaccompanied_Alien_Childre!F106</f>
        <v>263</v>
      </c>
      <c r="G106">
        <f t="shared" si="8"/>
        <v>-190</v>
      </c>
      <c r="H106" t="str">
        <f t="shared" si="9"/>
        <v>Decrease</v>
      </c>
      <c r="I106">
        <f t="shared" si="7"/>
        <v>-81</v>
      </c>
      <c r="J106">
        <f t="shared" si="10"/>
        <v>5766</v>
      </c>
      <c r="K106">
        <f t="shared" si="11"/>
        <v>6061</v>
      </c>
      <c r="L106">
        <f t="shared" si="12"/>
        <v>6555</v>
      </c>
      <c r="M106">
        <f t="shared" si="13"/>
        <v>6008.5</v>
      </c>
    </row>
    <row r="107" spans="1:13" x14ac:dyDescent="0.3">
      <c r="A107" s="2">
        <f>[1]HHS_Unaccompanied_Alien_Childre!G107</f>
        <v>45103</v>
      </c>
      <c r="B107">
        <f>[2]HHS_Unaccompanied_Alien_Childre!B107</f>
        <v>186</v>
      </c>
      <c r="C107">
        <f>[3]HHS_Unaccompanied_Alien_Childre!C107</f>
        <v>259</v>
      </c>
      <c r="D107">
        <f>[2]HHS_Unaccompanied_Alien_Childre!D107</f>
        <v>172</v>
      </c>
      <c r="E107">
        <f>[2]HHS_Unaccompanied_Alien_Childre!E107</f>
        <v>5819</v>
      </c>
      <c r="F107">
        <f>[3]HHS_Unaccompanied_Alien_Childre!F107</f>
        <v>174</v>
      </c>
      <c r="G107">
        <f t="shared" si="8"/>
        <v>53</v>
      </c>
      <c r="H107" t="str">
        <f t="shared" si="9"/>
        <v>Increase</v>
      </c>
      <c r="I107">
        <f t="shared" si="7"/>
        <v>14</v>
      </c>
      <c r="J107">
        <f t="shared" si="10"/>
        <v>5819</v>
      </c>
      <c r="K107">
        <f t="shared" si="11"/>
        <v>6065</v>
      </c>
      <c r="L107">
        <f t="shared" si="12"/>
        <v>6523</v>
      </c>
      <c r="M107">
        <f t="shared" si="13"/>
        <v>5915.5</v>
      </c>
    </row>
    <row r="108" spans="1:13" x14ac:dyDescent="0.3">
      <c r="A108" s="2">
        <f>[1]HHS_Unaccompanied_Alien_Childre!G108</f>
        <v>45104</v>
      </c>
      <c r="B108">
        <f>[2]HHS_Unaccompanied_Alien_Childre!B108</f>
        <v>154</v>
      </c>
      <c r="C108">
        <f>[3]HHS_Unaccompanied_Alien_Childre!C108</f>
        <v>225</v>
      </c>
      <c r="D108">
        <f>[2]HHS_Unaccompanied_Alien_Childre!D108</f>
        <v>220</v>
      </c>
      <c r="E108">
        <f>[2]HHS_Unaccompanied_Alien_Childre!E108</f>
        <v>5917</v>
      </c>
      <c r="F108">
        <f>[3]HHS_Unaccompanied_Alien_Childre!F108</f>
        <v>155</v>
      </c>
      <c r="G108">
        <f t="shared" si="8"/>
        <v>98</v>
      </c>
      <c r="H108" t="str">
        <f t="shared" si="9"/>
        <v>Increase</v>
      </c>
      <c r="I108">
        <f t="shared" si="7"/>
        <v>-66</v>
      </c>
      <c r="J108">
        <f t="shared" si="10"/>
        <v>5917</v>
      </c>
      <c r="K108">
        <f t="shared" si="11"/>
        <v>6038</v>
      </c>
      <c r="L108">
        <f t="shared" si="12"/>
        <v>6508</v>
      </c>
      <c r="M108">
        <f t="shared" si="13"/>
        <v>5928.5</v>
      </c>
    </row>
    <row r="109" spans="1:13" x14ac:dyDescent="0.3">
      <c r="A109" s="2">
        <f>[1]HHS_Unaccompanied_Alien_Childre!G109</f>
        <v>45105</v>
      </c>
      <c r="B109">
        <f>[2]HHS_Unaccompanied_Alien_Childre!B109</f>
        <v>91</v>
      </c>
      <c r="C109">
        <f>[3]HHS_Unaccompanied_Alien_Childre!C109</f>
        <v>199</v>
      </c>
      <c r="D109">
        <f>[2]HHS_Unaccompanied_Alien_Childre!D109</f>
        <v>172</v>
      </c>
      <c r="E109">
        <f>[2]HHS_Unaccompanied_Alien_Childre!E109</f>
        <v>5999</v>
      </c>
      <c r="F109">
        <f>[3]HHS_Unaccompanied_Alien_Childre!F109</f>
        <v>174</v>
      </c>
      <c r="G109">
        <f t="shared" si="8"/>
        <v>82</v>
      </c>
      <c r="H109" t="str">
        <f t="shared" si="9"/>
        <v>Increase</v>
      </c>
      <c r="I109">
        <f t="shared" si="7"/>
        <v>-81</v>
      </c>
      <c r="J109">
        <f t="shared" si="10"/>
        <v>5999</v>
      </c>
      <c r="K109">
        <f t="shared" si="11"/>
        <v>5679</v>
      </c>
      <c r="L109">
        <f t="shared" si="12"/>
        <v>6483</v>
      </c>
      <c r="M109">
        <f t="shared" si="13"/>
        <v>5798</v>
      </c>
    </row>
    <row r="110" spans="1:13" x14ac:dyDescent="0.3">
      <c r="A110" s="2">
        <f>[1]HHS_Unaccompanied_Alien_Childre!G110</f>
        <v>45106</v>
      </c>
      <c r="B110">
        <f>[2]HHS_Unaccompanied_Alien_Childre!B110</f>
        <v>81</v>
      </c>
      <c r="C110">
        <f>[3]HHS_Unaccompanied_Alien_Childre!C110</f>
        <v>213</v>
      </c>
      <c r="D110">
        <f>[2]HHS_Unaccompanied_Alien_Childre!D110</f>
        <v>153</v>
      </c>
      <c r="E110">
        <f>[2]HHS_Unaccompanied_Alien_Childre!E110</f>
        <v>6058</v>
      </c>
      <c r="F110">
        <f>[3]HHS_Unaccompanied_Alien_Childre!F110</f>
        <v>213</v>
      </c>
      <c r="G110">
        <f t="shared" si="8"/>
        <v>59</v>
      </c>
      <c r="H110" t="str">
        <f t="shared" si="9"/>
        <v>Increase</v>
      </c>
      <c r="I110">
        <f t="shared" si="7"/>
        <v>-72</v>
      </c>
      <c r="J110">
        <f t="shared" si="10"/>
        <v>6058</v>
      </c>
      <c r="K110">
        <f t="shared" si="11"/>
        <v>5904</v>
      </c>
      <c r="L110">
        <f t="shared" si="12"/>
        <v>6446</v>
      </c>
      <c r="M110">
        <f t="shared" si="13"/>
        <v>5951.5</v>
      </c>
    </row>
    <row r="111" spans="1:13" x14ac:dyDescent="0.3">
      <c r="A111" s="2">
        <f>[1]HHS_Unaccompanied_Alien_Childre!G111</f>
        <v>45109</v>
      </c>
      <c r="B111">
        <f>[2]HHS_Unaccompanied_Alien_Childre!B111</f>
        <v>209</v>
      </c>
      <c r="C111">
        <f>[3]HHS_Unaccompanied_Alien_Childre!C111</f>
        <v>285</v>
      </c>
      <c r="D111">
        <f>[2]HHS_Unaccompanied_Alien_Childre!D111</f>
        <v>184</v>
      </c>
      <c r="E111">
        <f>[2]HHS_Unaccompanied_Alien_Childre!E111</f>
        <v>5903</v>
      </c>
      <c r="F111">
        <f>[3]HHS_Unaccompanied_Alien_Childre!F111</f>
        <v>309</v>
      </c>
      <c r="G111">
        <f t="shared" si="8"/>
        <v>-155</v>
      </c>
      <c r="H111" t="str">
        <f t="shared" si="9"/>
        <v>Decrease</v>
      </c>
      <c r="I111">
        <f t="shared" si="7"/>
        <v>25</v>
      </c>
      <c r="J111">
        <f t="shared" si="10"/>
        <v>5903</v>
      </c>
      <c r="K111">
        <f t="shared" si="11"/>
        <v>5922</v>
      </c>
      <c r="L111">
        <f t="shared" si="12"/>
        <v>6007</v>
      </c>
      <c r="M111">
        <f t="shared" si="13"/>
        <v>5990</v>
      </c>
    </row>
    <row r="112" spans="1:13" x14ac:dyDescent="0.3">
      <c r="A112" s="2">
        <f>[1]HHS_Unaccompanied_Alien_Childre!G112</f>
        <v>45111</v>
      </c>
      <c r="B112">
        <f>[2]HHS_Unaccompanied_Alien_Childre!B112</f>
        <v>184</v>
      </c>
      <c r="C112">
        <f>[3]HHS_Unaccompanied_Alien_Childre!C112</f>
        <v>314</v>
      </c>
      <c r="D112">
        <f>[2]HHS_Unaccompanied_Alien_Childre!D112</f>
        <v>217</v>
      </c>
      <c r="E112">
        <f>[2]HHS_Unaccompanied_Alien_Childre!E112</f>
        <v>6127</v>
      </c>
      <c r="F112">
        <f>[3]HHS_Unaccompanied_Alien_Childre!F112</f>
        <v>124</v>
      </c>
      <c r="G112">
        <f t="shared" si="8"/>
        <v>224</v>
      </c>
      <c r="H112" t="str">
        <f t="shared" si="9"/>
        <v>Increase</v>
      </c>
      <c r="I112">
        <f t="shared" si="7"/>
        <v>-33</v>
      </c>
      <c r="J112">
        <f t="shared" si="10"/>
        <v>6127</v>
      </c>
      <c r="K112">
        <f t="shared" si="11"/>
        <v>5956</v>
      </c>
      <c r="L112">
        <f t="shared" si="12"/>
        <v>6021</v>
      </c>
      <c r="M112">
        <f t="shared" si="13"/>
        <v>5929.5</v>
      </c>
    </row>
    <row r="113" spans="1:13" x14ac:dyDescent="0.3">
      <c r="A113" s="2">
        <f>[1]HHS_Unaccompanied_Alien_Childre!G113</f>
        <v>45112</v>
      </c>
      <c r="B113">
        <f>[2]HHS_Unaccompanied_Alien_Childre!B113</f>
        <v>107</v>
      </c>
      <c r="C113">
        <f>[3]HHS_Unaccompanied_Alien_Childre!C113</f>
        <v>215</v>
      </c>
      <c r="D113">
        <f>[2]HHS_Unaccompanied_Alien_Childre!D113</f>
        <v>230</v>
      </c>
      <c r="E113">
        <f>[2]HHS_Unaccompanied_Alien_Childre!E113</f>
        <v>6193</v>
      </c>
      <c r="F113">
        <f>[3]HHS_Unaccompanied_Alien_Childre!F113</f>
        <v>167</v>
      </c>
      <c r="G113">
        <f t="shared" si="8"/>
        <v>66</v>
      </c>
      <c r="H113" t="str">
        <f t="shared" si="9"/>
        <v>Increase</v>
      </c>
      <c r="I113">
        <f t="shared" si="7"/>
        <v>-123</v>
      </c>
      <c r="J113">
        <f t="shared" si="10"/>
        <v>6193</v>
      </c>
      <c r="K113">
        <f t="shared" si="11"/>
        <v>5766</v>
      </c>
      <c r="L113">
        <f t="shared" si="12"/>
        <v>6061</v>
      </c>
      <c r="M113">
        <f t="shared" si="13"/>
        <v>5946.5</v>
      </c>
    </row>
    <row r="114" spans="1:13" x14ac:dyDescent="0.3">
      <c r="A114" s="2">
        <f>[1]HHS_Unaccompanied_Alien_Childre!G114</f>
        <v>45113</v>
      </c>
      <c r="B114">
        <f>[2]HHS_Unaccompanied_Alien_Childre!B114</f>
        <v>101</v>
      </c>
      <c r="C114">
        <f>[3]HHS_Unaccompanied_Alien_Childre!C114</f>
        <v>162</v>
      </c>
      <c r="D114">
        <f>[2]HHS_Unaccompanied_Alien_Childre!D114</f>
        <v>178</v>
      </c>
      <c r="E114">
        <f>[2]HHS_Unaccompanied_Alien_Childre!E114</f>
        <v>6239</v>
      </c>
      <c r="F114">
        <f>[3]HHS_Unaccompanied_Alien_Childre!F114</f>
        <v>205</v>
      </c>
      <c r="G114">
        <f t="shared" si="8"/>
        <v>46</v>
      </c>
      <c r="H114" t="str">
        <f t="shared" si="9"/>
        <v>Increase</v>
      </c>
      <c r="I114">
        <f t="shared" si="7"/>
        <v>-77</v>
      </c>
      <c r="J114">
        <f t="shared" si="10"/>
        <v>6239</v>
      </c>
      <c r="K114">
        <f t="shared" si="11"/>
        <v>5819</v>
      </c>
      <c r="L114">
        <f t="shared" si="12"/>
        <v>6065</v>
      </c>
      <c r="M114">
        <f t="shared" si="13"/>
        <v>6006</v>
      </c>
    </row>
    <row r="115" spans="1:13" x14ac:dyDescent="0.3">
      <c r="A115" s="2">
        <f>[1]HHS_Unaccompanied_Alien_Childre!G115</f>
        <v>45116</v>
      </c>
      <c r="B115">
        <f>[2]HHS_Unaccompanied_Alien_Childre!B115</f>
        <v>99</v>
      </c>
      <c r="C115">
        <f>[3]HHS_Unaccompanied_Alien_Childre!C115</f>
        <v>190</v>
      </c>
      <c r="D115">
        <f>[2]HHS_Unaccompanied_Alien_Childre!D115</f>
        <v>176</v>
      </c>
      <c r="E115">
        <f>[2]HHS_Unaccompanied_Alien_Childre!E115</f>
        <v>6214</v>
      </c>
      <c r="F115">
        <f>[3]HHS_Unaccompanied_Alien_Childre!F115</f>
        <v>196</v>
      </c>
      <c r="G115">
        <f t="shared" si="8"/>
        <v>-25</v>
      </c>
      <c r="H115" t="str">
        <f t="shared" si="9"/>
        <v>Decrease</v>
      </c>
      <c r="I115">
        <f t="shared" si="7"/>
        <v>-77</v>
      </c>
      <c r="J115">
        <f t="shared" si="10"/>
        <v>6214</v>
      </c>
      <c r="K115">
        <f t="shared" si="11"/>
        <v>5917</v>
      </c>
      <c r="L115">
        <f t="shared" si="12"/>
        <v>6038</v>
      </c>
      <c r="M115">
        <f t="shared" si="13"/>
        <v>6078</v>
      </c>
    </row>
    <row r="116" spans="1:13" x14ac:dyDescent="0.3">
      <c r="A116" s="2">
        <f>[1]HHS_Unaccompanied_Alien_Childre!G116</f>
        <v>45117</v>
      </c>
      <c r="B116">
        <f>[2]HHS_Unaccompanied_Alien_Childre!B116</f>
        <v>167</v>
      </c>
      <c r="C116">
        <f>[3]HHS_Unaccompanied_Alien_Childre!C116</f>
        <v>239</v>
      </c>
      <c r="D116">
        <f>[2]HHS_Unaccompanied_Alien_Childre!D116</f>
        <v>166</v>
      </c>
      <c r="E116">
        <f>[2]HHS_Unaccompanied_Alien_Childre!E116</f>
        <v>6346</v>
      </c>
      <c r="F116">
        <f>[3]HHS_Unaccompanied_Alien_Childre!F116</f>
        <v>163</v>
      </c>
      <c r="G116">
        <f t="shared" si="8"/>
        <v>132</v>
      </c>
      <c r="H116" t="str">
        <f t="shared" si="9"/>
        <v>Increase</v>
      </c>
      <c r="I116">
        <f t="shared" si="7"/>
        <v>1</v>
      </c>
      <c r="J116">
        <f t="shared" si="10"/>
        <v>6346</v>
      </c>
      <c r="K116">
        <f t="shared" si="11"/>
        <v>5999</v>
      </c>
      <c r="L116">
        <f t="shared" si="12"/>
        <v>5679</v>
      </c>
      <c r="M116">
        <f t="shared" si="13"/>
        <v>6106.5</v>
      </c>
    </row>
    <row r="117" spans="1:13" x14ac:dyDescent="0.3">
      <c r="A117" s="2">
        <f>[1]HHS_Unaccompanied_Alien_Childre!G117</f>
        <v>45118</v>
      </c>
      <c r="B117">
        <f>[2]HHS_Unaccompanied_Alien_Childre!B117</f>
        <v>115</v>
      </c>
      <c r="C117">
        <f>[3]HHS_Unaccompanied_Alien_Childre!C117</f>
        <v>216</v>
      </c>
      <c r="D117">
        <f>[2]HHS_Unaccompanied_Alien_Childre!D117</f>
        <v>169</v>
      </c>
      <c r="E117">
        <f>[2]HHS_Unaccompanied_Alien_Childre!E117</f>
        <v>6498</v>
      </c>
      <c r="F117">
        <f>[3]HHS_Unaccompanied_Alien_Childre!F117</f>
        <v>143</v>
      </c>
      <c r="G117">
        <f t="shared" si="8"/>
        <v>152</v>
      </c>
      <c r="H117" t="str">
        <f t="shared" si="9"/>
        <v>Increase</v>
      </c>
      <c r="I117">
        <f t="shared" si="7"/>
        <v>-54</v>
      </c>
      <c r="J117">
        <f t="shared" si="10"/>
        <v>6498</v>
      </c>
      <c r="K117">
        <f t="shared" si="11"/>
        <v>6058</v>
      </c>
      <c r="L117">
        <f t="shared" si="12"/>
        <v>5904</v>
      </c>
      <c r="M117">
        <f t="shared" si="13"/>
        <v>6202</v>
      </c>
    </row>
    <row r="118" spans="1:13" x14ac:dyDescent="0.3">
      <c r="A118" s="2">
        <f>[1]HHS_Unaccompanied_Alien_Childre!G118</f>
        <v>45119</v>
      </c>
      <c r="B118">
        <f>[2]HHS_Unaccompanied_Alien_Childre!B118</f>
        <v>84</v>
      </c>
      <c r="C118">
        <f>[3]HHS_Unaccompanied_Alien_Childre!C118</f>
        <v>158</v>
      </c>
      <c r="D118">
        <f>[2]HHS_Unaccompanied_Alien_Childre!D118</f>
        <v>193</v>
      </c>
      <c r="E118">
        <f>[2]HHS_Unaccompanied_Alien_Childre!E118</f>
        <v>6521</v>
      </c>
      <c r="F118">
        <f>[3]HHS_Unaccompanied_Alien_Childre!F118</f>
        <v>210</v>
      </c>
      <c r="G118">
        <f t="shared" si="8"/>
        <v>23</v>
      </c>
      <c r="H118" t="str">
        <f t="shared" si="9"/>
        <v>Increase</v>
      </c>
      <c r="I118">
        <f t="shared" si="7"/>
        <v>-109</v>
      </c>
      <c r="J118">
        <f t="shared" si="10"/>
        <v>6521</v>
      </c>
      <c r="K118">
        <f t="shared" si="11"/>
        <v>5903</v>
      </c>
      <c r="L118">
        <f t="shared" si="12"/>
        <v>5922</v>
      </c>
      <c r="M118">
        <f t="shared" si="13"/>
        <v>6200.5</v>
      </c>
    </row>
    <row r="119" spans="1:13" x14ac:dyDescent="0.3">
      <c r="A119" s="2">
        <f>[1]HHS_Unaccompanied_Alien_Childre!G119</f>
        <v>45120</v>
      </c>
      <c r="B119">
        <f>[2]HHS_Unaccompanied_Alien_Childre!B119</f>
        <v>130</v>
      </c>
      <c r="C119">
        <f>[3]HHS_Unaccompanied_Alien_Childre!C119</f>
        <v>227</v>
      </c>
      <c r="D119">
        <f>[2]HHS_Unaccompanied_Alien_Childre!D119</f>
        <v>192</v>
      </c>
      <c r="E119">
        <f>[2]HHS_Unaccompanied_Alien_Childre!E119</f>
        <v>6604</v>
      </c>
      <c r="F119">
        <f>[3]HHS_Unaccompanied_Alien_Childre!F119</f>
        <v>226</v>
      </c>
      <c r="G119">
        <f t="shared" si="8"/>
        <v>83</v>
      </c>
      <c r="H119" t="str">
        <f t="shared" si="9"/>
        <v>Increase</v>
      </c>
      <c r="I119">
        <f t="shared" si="7"/>
        <v>-62</v>
      </c>
      <c r="J119">
        <f t="shared" si="10"/>
        <v>6604</v>
      </c>
      <c r="K119">
        <f t="shared" si="11"/>
        <v>6127</v>
      </c>
      <c r="L119">
        <f t="shared" si="12"/>
        <v>5956</v>
      </c>
      <c r="M119">
        <f t="shared" si="13"/>
        <v>6324</v>
      </c>
    </row>
    <row r="120" spans="1:13" x14ac:dyDescent="0.3">
      <c r="A120" s="2">
        <f>[1]HHS_Unaccompanied_Alien_Childre!G120</f>
        <v>45123</v>
      </c>
      <c r="B120">
        <f>[2]HHS_Unaccompanied_Alien_Childre!B120</f>
        <v>88</v>
      </c>
      <c r="C120">
        <f>[3]HHS_Unaccompanied_Alien_Childre!C120</f>
        <v>214</v>
      </c>
      <c r="D120">
        <f>[2]HHS_Unaccompanied_Alien_Childre!D120</f>
        <v>160</v>
      </c>
      <c r="E120">
        <f>[2]HHS_Unaccompanied_Alien_Childre!E120</f>
        <v>6468</v>
      </c>
      <c r="F120">
        <f>[3]HHS_Unaccompanied_Alien_Childre!F120</f>
        <v>218</v>
      </c>
      <c r="G120">
        <f t="shared" si="8"/>
        <v>-136</v>
      </c>
      <c r="H120" t="str">
        <f t="shared" si="9"/>
        <v>Decrease</v>
      </c>
      <c r="I120">
        <f t="shared" si="7"/>
        <v>-72</v>
      </c>
      <c r="J120">
        <f t="shared" si="10"/>
        <v>6468</v>
      </c>
      <c r="K120">
        <f t="shared" si="11"/>
        <v>6193</v>
      </c>
      <c r="L120">
        <f t="shared" si="12"/>
        <v>5766</v>
      </c>
      <c r="M120">
        <f t="shared" si="13"/>
        <v>6398.5</v>
      </c>
    </row>
    <row r="121" spans="1:13" x14ac:dyDescent="0.3">
      <c r="A121" s="2">
        <f>[1]HHS_Unaccompanied_Alien_Childre!G121</f>
        <v>45124</v>
      </c>
      <c r="B121">
        <f>[2]HHS_Unaccompanied_Alien_Childre!B121</f>
        <v>113</v>
      </c>
      <c r="C121">
        <f>[3]HHS_Unaccompanied_Alien_Childre!C121</f>
        <v>208</v>
      </c>
      <c r="D121">
        <f>[2]HHS_Unaccompanied_Alien_Childre!D121</f>
        <v>159</v>
      </c>
      <c r="E121">
        <f>[2]HHS_Unaccompanied_Alien_Childre!E121</f>
        <v>6632</v>
      </c>
      <c r="F121">
        <f>[3]HHS_Unaccompanied_Alien_Childre!F121</f>
        <v>160</v>
      </c>
      <c r="G121">
        <f t="shared" si="8"/>
        <v>164</v>
      </c>
      <c r="H121" t="str">
        <f t="shared" si="9"/>
        <v>Increase</v>
      </c>
      <c r="I121">
        <f t="shared" si="7"/>
        <v>-46</v>
      </c>
      <c r="J121">
        <f t="shared" si="10"/>
        <v>6632</v>
      </c>
      <c r="K121">
        <f t="shared" si="11"/>
        <v>6239</v>
      </c>
      <c r="L121">
        <f t="shared" si="12"/>
        <v>5819</v>
      </c>
      <c r="M121">
        <f t="shared" si="13"/>
        <v>6353.5</v>
      </c>
    </row>
    <row r="122" spans="1:13" x14ac:dyDescent="0.3">
      <c r="A122" s="2">
        <f>[1]HHS_Unaccompanied_Alien_Childre!G122</f>
        <v>45125</v>
      </c>
      <c r="B122">
        <f>[2]HHS_Unaccompanied_Alien_Childre!B122</f>
        <v>174</v>
      </c>
      <c r="C122">
        <f>[3]HHS_Unaccompanied_Alien_Childre!C122</f>
        <v>285</v>
      </c>
      <c r="D122">
        <f>[2]HHS_Unaccompanied_Alien_Childre!D122</f>
        <v>150</v>
      </c>
      <c r="E122">
        <f>[2]HHS_Unaccompanied_Alien_Childre!E122</f>
        <v>6874</v>
      </c>
      <c r="F122">
        <f>[3]HHS_Unaccompanied_Alien_Childre!F122</f>
        <v>181</v>
      </c>
      <c r="G122">
        <f t="shared" si="8"/>
        <v>242</v>
      </c>
      <c r="H122" t="str">
        <f t="shared" si="9"/>
        <v>Increase</v>
      </c>
      <c r="I122">
        <f t="shared" si="7"/>
        <v>24</v>
      </c>
      <c r="J122">
        <f t="shared" si="10"/>
        <v>6874</v>
      </c>
      <c r="K122">
        <f t="shared" si="11"/>
        <v>6214</v>
      </c>
      <c r="L122">
        <f t="shared" si="12"/>
        <v>5917</v>
      </c>
      <c r="M122">
        <f t="shared" si="13"/>
        <v>6423</v>
      </c>
    </row>
    <row r="123" spans="1:13" x14ac:dyDescent="0.3">
      <c r="A123" s="2">
        <f>[1]HHS_Unaccompanied_Alien_Childre!G123</f>
        <v>45126</v>
      </c>
      <c r="B123">
        <f>[2]HHS_Unaccompanied_Alien_Childre!B123</f>
        <v>104</v>
      </c>
      <c r="C123">
        <f>[3]HHS_Unaccompanied_Alien_Childre!C123</f>
        <v>230</v>
      </c>
      <c r="D123">
        <f>[2]HHS_Unaccompanied_Alien_Childre!D123</f>
        <v>206</v>
      </c>
      <c r="E123">
        <f>[2]HHS_Unaccompanied_Alien_Childre!E123</f>
        <v>7001</v>
      </c>
      <c r="F123">
        <f>[3]HHS_Unaccompanied_Alien_Childre!F123</f>
        <v>226</v>
      </c>
      <c r="G123">
        <f t="shared" si="8"/>
        <v>127</v>
      </c>
      <c r="H123" t="str">
        <f t="shared" si="9"/>
        <v>Increase</v>
      </c>
      <c r="I123">
        <f t="shared" si="7"/>
        <v>-102</v>
      </c>
      <c r="J123">
        <f t="shared" si="10"/>
        <v>7001</v>
      </c>
      <c r="K123">
        <f t="shared" si="11"/>
        <v>6346</v>
      </c>
      <c r="L123">
        <f t="shared" si="12"/>
        <v>5999</v>
      </c>
      <c r="M123">
        <f t="shared" si="13"/>
        <v>6610</v>
      </c>
    </row>
    <row r="124" spans="1:13" x14ac:dyDescent="0.3">
      <c r="A124" s="2">
        <f>[1]HHS_Unaccompanied_Alien_Childre!G124</f>
        <v>45127</v>
      </c>
      <c r="B124">
        <f>[2]HHS_Unaccompanied_Alien_Childre!B124</f>
        <v>147</v>
      </c>
      <c r="C124">
        <f>[3]HHS_Unaccompanied_Alien_Childre!C124</f>
        <v>276</v>
      </c>
      <c r="D124">
        <f>[2]HHS_Unaccompanied_Alien_Childre!D124</f>
        <v>214</v>
      </c>
      <c r="E124">
        <f>[2]HHS_Unaccompanied_Alien_Childre!E124</f>
        <v>7116</v>
      </c>
      <c r="F124">
        <f>[3]HHS_Unaccompanied_Alien_Childre!F124</f>
        <v>281</v>
      </c>
      <c r="G124">
        <f t="shared" si="8"/>
        <v>115</v>
      </c>
      <c r="H124" t="str">
        <f t="shared" si="9"/>
        <v>Increase</v>
      </c>
      <c r="I124">
        <f t="shared" si="7"/>
        <v>-67</v>
      </c>
      <c r="J124">
        <f t="shared" si="10"/>
        <v>7116</v>
      </c>
      <c r="K124">
        <f t="shared" si="11"/>
        <v>6498</v>
      </c>
      <c r="L124">
        <f t="shared" si="12"/>
        <v>6058</v>
      </c>
      <c r="M124">
        <f t="shared" si="13"/>
        <v>6749.5</v>
      </c>
    </row>
    <row r="125" spans="1:13" x14ac:dyDescent="0.3">
      <c r="A125" s="2">
        <f>[1]HHS_Unaccompanied_Alien_Childre!G125</f>
        <v>45130</v>
      </c>
      <c r="B125">
        <f>[2]HHS_Unaccompanied_Alien_Childre!B125</f>
        <v>108</v>
      </c>
      <c r="C125">
        <f>[3]HHS_Unaccompanied_Alien_Childre!C125</f>
        <v>220</v>
      </c>
      <c r="D125">
        <f>[2]HHS_Unaccompanied_Alien_Childre!D125</f>
        <v>213</v>
      </c>
      <c r="E125">
        <f>[2]HHS_Unaccompanied_Alien_Childre!E125</f>
        <v>7052</v>
      </c>
      <c r="F125">
        <f>[3]HHS_Unaccompanied_Alien_Childre!F125</f>
        <v>276</v>
      </c>
      <c r="G125">
        <f t="shared" si="8"/>
        <v>-64</v>
      </c>
      <c r="H125" t="str">
        <f t="shared" si="9"/>
        <v>Decrease</v>
      </c>
      <c r="I125">
        <f t="shared" si="7"/>
        <v>-105</v>
      </c>
      <c r="J125">
        <f t="shared" si="10"/>
        <v>7052</v>
      </c>
      <c r="K125">
        <f t="shared" si="11"/>
        <v>6521</v>
      </c>
      <c r="L125">
        <f t="shared" si="12"/>
        <v>5903</v>
      </c>
      <c r="M125">
        <f t="shared" si="13"/>
        <v>6818.5</v>
      </c>
    </row>
    <row r="126" spans="1:13" x14ac:dyDescent="0.3">
      <c r="A126" s="2">
        <f>[1]HHS_Unaccompanied_Alien_Childre!G126</f>
        <v>45131</v>
      </c>
      <c r="B126">
        <f>[2]HHS_Unaccompanied_Alien_Childre!B126</f>
        <v>180</v>
      </c>
      <c r="C126">
        <f>[3]HHS_Unaccompanied_Alien_Childre!C126</f>
        <v>280</v>
      </c>
      <c r="D126">
        <f>[2]HHS_Unaccompanied_Alien_Childre!D126</f>
        <v>146</v>
      </c>
      <c r="E126">
        <f>[2]HHS_Unaccompanied_Alien_Childre!E126</f>
        <v>7220</v>
      </c>
      <c r="F126">
        <f>[3]HHS_Unaccompanied_Alien_Childre!F126</f>
        <v>187</v>
      </c>
      <c r="G126">
        <f t="shared" si="8"/>
        <v>168</v>
      </c>
      <c r="H126" t="str">
        <f t="shared" si="9"/>
        <v>Increase</v>
      </c>
      <c r="I126">
        <f t="shared" si="7"/>
        <v>34</v>
      </c>
      <c r="J126">
        <f t="shared" si="10"/>
        <v>7220</v>
      </c>
      <c r="K126">
        <f t="shared" si="11"/>
        <v>6604</v>
      </c>
      <c r="L126">
        <f t="shared" si="12"/>
        <v>6127</v>
      </c>
      <c r="M126">
        <f t="shared" si="13"/>
        <v>6828</v>
      </c>
    </row>
    <row r="127" spans="1:13" x14ac:dyDescent="0.3">
      <c r="A127" s="2">
        <f>[1]HHS_Unaccompanied_Alien_Childre!G127</f>
        <v>45132</v>
      </c>
      <c r="B127">
        <f>[2]HHS_Unaccompanied_Alien_Childre!B127</f>
        <v>134</v>
      </c>
      <c r="C127">
        <f>[3]HHS_Unaccompanied_Alien_Childre!C127</f>
        <v>294</v>
      </c>
      <c r="D127">
        <f>[2]HHS_Unaccompanied_Alien_Childre!D127</f>
        <v>186</v>
      </c>
      <c r="E127">
        <f>[2]HHS_Unaccompanied_Alien_Childre!E127</f>
        <v>7510</v>
      </c>
      <c r="F127">
        <f>[3]HHS_Unaccompanied_Alien_Childre!F127</f>
        <v>136</v>
      </c>
      <c r="G127">
        <f t="shared" si="8"/>
        <v>290</v>
      </c>
      <c r="H127" t="str">
        <f t="shared" si="9"/>
        <v>Increase</v>
      </c>
      <c r="I127">
        <f t="shared" si="7"/>
        <v>-52</v>
      </c>
      <c r="J127">
        <f t="shared" si="10"/>
        <v>7510</v>
      </c>
      <c r="K127">
        <f t="shared" si="11"/>
        <v>6468</v>
      </c>
      <c r="L127">
        <f t="shared" si="12"/>
        <v>6193</v>
      </c>
      <c r="M127">
        <f t="shared" si="13"/>
        <v>6844</v>
      </c>
    </row>
    <row r="128" spans="1:13" x14ac:dyDescent="0.3">
      <c r="A128" s="2">
        <f>[1]HHS_Unaccompanied_Alien_Childre!G128</f>
        <v>45133</v>
      </c>
      <c r="B128">
        <f>[2]HHS_Unaccompanied_Alien_Childre!B128</f>
        <v>202</v>
      </c>
      <c r="C128">
        <f>[3]HHS_Unaccompanied_Alien_Childre!C128</f>
        <v>313</v>
      </c>
      <c r="D128">
        <f>[2]HHS_Unaccompanied_Alien_Childre!D128</f>
        <v>158</v>
      </c>
      <c r="E128">
        <f>[2]HHS_Unaccompanied_Alien_Childre!E128</f>
        <v>7647</v>
      </c>
      <c r="F128">
        <f>[3]HHS_Unaccompanied_Alien_Childre!F128</f>
        <v>215</v>
      </c>
      <c r="G128">
        <f t="shared" si="8"/>
        <v>137</v>
      </c>
      <c r="H128" t="str">
        <f t="shared" si="9"/>
        <v>Increase</v>
      </c>
      <c r="I128">
        <f t="shared" si="7"/>
        <v>44</v>
      </c>
      <c r="J128">
        <f t="shared" si="10"/>
        <v>7647</v>
      </c>
      <c r="K128">
        <f t="shared" si="11"/>
        <v>6632</v>
      </c>
      <c r="L128">
        <f t="shared" si="12"/>
        <v>6239</v>
      </c>
      <c r="M128">
        <f t="shared" si="13"/>
        <v>7071</v>
      </c>
    </row>
    <row r="129" spans="1:13" x14ac:dyDescent="0.3">
      <c r="A129" s="2">
        <f>[1]HHS_Unaccompanied_Alien_Childre!G129</f>
        <v>45134</v>
      </c>
      <c r="B129">
        <f>[2]HHS_Unaccompanied_Alien_Childre!B129</f>
        <v>110</v>
      </c>
      <c r="C129">
        <f>[3]HHS_Unaccompanied_Alien_Childre!C129</f>
        <v>272</v>
      </c>
      <c r="D129">
        <f>[2]HHS_Unaccompanied_Alien_Childre!D129</f>
        <v>193</v>
      </c>
      <c r="E129">
        <f>[2]HHS_Unaccompanied_Alien_Childre!E129</f>
        <v>7754</v>
      </c>
      <c r="F129">
        <f>[3]HHS_Unaccompanied_Alien_Childre!F129</f>
        <v>259</v>
      </c>
      <c r="G129">
        <f t="shared" si="8"/>
        <v>107</v>
      </c>
      <c r="H129" t="str">
        <f t="shared" si="9"/>
        <v>Increase</v>
      </c>
      <c r="I129">
        <f t="shared" si="7"/>
        <v>-83</v>
      </c>
      <c r="J129">
        <f t="shared" si="10"/>
        <v>7754</v>
      </c>
      <c r="K129">
        <f t="shared" si="11"/>
        <v>6874</v>
      </c>
      <c r="L129">
        <f t="shared" si="12"/>
        <v>6214</v>
      </c>
      <c r="M129">
        <f t="shared" si="13"/>
        <v>7260.5</v>
      </c>
    </row>
    <row r="130" spans="1:13" x14ac:dyDescent="0.3">
      <c r="A130" s="2">
        <f>[1]HHS_Unaccompanied_Alien_Childre!G130</f>
        <v>45137</v>
      </c>
      <c r="B130">
        <f>[2]HHS_Unaccompanied_Alien_Childre!B130</f>
        <v>166</v>
      </c>
      <c r="C130">
        <f>[3]HHS_Unaccompanied_Alien_Childre!C130</f>
        <v>277</v>
      </c>
      <c r="D130">
        <f>[2]HHS_Unaccompanied_Alien_Childre!D130</f>
        <v>229</v>
      </c>
      <c r="E130">
        <f>[2]HHS_Unaccompanied_Alien_Childre!E130</f>
        <v>7671</v>
      </c>
      <c r="F130">
        <f>[3]HHS_Unaccompanied_Alien_Childre!F130</f>
        <v>305</v>
      </c>
      <c r="G130">
        <f t="shared" si="8"/>
        <v>-83</v>
      </c>
      <c r="H130" t="str">
        <f t="shared" si="9"/>
        <v>Decrease</v>
      </c>
      <c r="I130">
        <f t="shared" si="7"/>
        <v>-63</v>
      </c>
      <c r="J130">
        <f t="shared" si="10"/>
        <v>7671</v>
      </c>
      <c r="K130">
        <f t="shared" si="11"/>
        <v>7001</v>
      </c>
      <c r="L130">
        <f t="shared" si="12"/>
        <v>6346</v>
      </c>
      <c r="M130">
        <f t="shared" si="13"/>
        <v>7377.5</v>
      </c>
    </row>
    <row r="131" spans="1:13" x14ac:dyDescent="0.3">
      <c r="A131" s="2">
        <f>[1]HHS_Unaccompanied_Alien_Childre!G131</f>
        <v>45138</v>
      </c>
      <c r="B131">
        <f>[2]HHS_Unaccompanied_Alien_Childre!B131</f>
        <v>136</v>
      </c>
      <c r="C131">
        <f>[3]HHS_Unaccompanied_Alien_Childre!C131</f>
        <v>276</v>
      </c>
      <c r="D131">
        <f>[2]HHS_Unaccompanied_Alien_Childre!D131</f>
        <v>178</v>
      </c>
      <c r="E131">
        <f>[2]HHS_Unaccompanied_Alien_Childre!E131</f>
        <v>7800</v>
      </c>
      <c r="F131">
        <f>[3]HHS_Unaccompanied_Alien_Childre!F131</f>
        <v>220</v>
      </c>
      <c r="G131">
        <f t="shared" si="8"/>
        <v>129</v>
      </c>
      <c r="H131" t="str">
        <f t="shared" si="9"/>
        <v>Increase</v>
      </c>
      <c r="I131">
        <f t="shared" ref="I131:I194" si="14">B131-D131</f>
        <v>-42</v>
      </c>
      <c r="J131">
        <f t="shared" si="10"/>
        <v>7800</v>
      </c>
      <c r="K131">
        <f t="shared" si="11"/>
        <v>7116</v>
      </c>
      <c r="L131">
        <f t="shared" si="12"/>
        <v>6498</v>
      </c>
      <c r="M131">
        <f t="shared" si="13"/>
        <v>7393.5</v>
      </c>
    </row>
    <row r="132" spans="1:13" x14ac:dyDescent="0.3">
      <c r="A132" s="2">
        <f>[1]HHS_Unaccompanied_Alien_Childre!G132</f>
        <v>45139</v>
      </c>
      <c r="B132">
        <f>[2]HHS_Unaccompanied_Alien_Childre!B132</f>
        <v>87</v>
      </c>
      <c r="C132">
        <f>[3]HHS_Unaccompanied_Alien_Childre!C132</f>
        <v>246</v>
      </c>
      <c r="D132">
        <f>[2]HHS_Unaccompanied_Alien_Childre!D132</f>
        <v>173</v>
      </c>
      <c r="E132">
        <f>[2]HHS_Unaccompanied_Alien_Childre!E132</f>
        <v>8103</v>
      </c>
      <c r="F132">
        <f>[3]HHS_Unaccompanied_Alien_Childre!F132</f>
        <v>168</v>
      </c>
      <c r="G132">
        <f t="shared" ref="G132:G195" si="15">E132-E131</f>
        <v>303</v>
      </c>
      <c r="H132" t="str">
        <f t="shared" ref="H132:H195" si="16">IF(G132&gt;0,"Increase",IF(G132&lt;0,"Decrease","No Change"))</f>
        <v>Increase</v>
      </c>
      <c r="I132">
        <f t="shared" si="14"/>
        <v>-86</v>
      </c>
      <c r="J132">
        <f t="shared" si="10"/>
        <v>8103</v>
      </c>
      <c r="K132">
        <f t="shared" si="11"/>
        <v>7052</v>
      </c>
      <c r="L132">
        <f t="shared" si="12"/>
        <v>6521</v>
      </c>
      <c r="M132">
        <f t="shared" si="13"/>
        <v>7426</v>
      </c>
    </row>
    <row r="133" spans="1:13" x14ac:dyDescent="0.3">
      <c r="A133" s="2">
        <f>[1]HHS_Unaccompanied_Alien_Childre!G133</f>
        <v>45140</v>
      </c>
      <c r="B133">
        <f>[2]HHS_Unaccompanied_Alien_Childre!B133</f>
        <v>84</v>
      </c>
      <c r="C133">
        <f>[3]HHS_Unaccompanied_Alien_Childre!C133</f>
        <v>171</v>
      </c>
      <c r="D133">
        <f>[2]HHS_Unaccompanied_Alien_Childre!D133</f>
        <v>157</v>
      </c>
      <c r="E133">
        <f>[2]HHS_Unaccompanied_Alien_Childre!E133</f>
        <v>8261</v>
      </c>
      <c r="F133">
        <f>[3]HHS_Unaccompanied_Alien_Childre!F133</f>
        <v>271</v>
      </c>
      <c r="G133">
        <f t="shared" si="15"/>
        <v>158</v>
      </c>
      <c r="H133" t="str">
        <f t="shared" si="16"/>
        <v>Increase</v>
      </c>
      <c r="I133">
        <f t="shared" si="14"/>
        <v>-73</v>
      </c>
      <c r="J133">
        <f t="shared" si="10"/>
        <v>8261</v>
      </c>
      <c r="K133">
        <f t="shared" si="11"/>
        <v>7220</v>
      </c>
      <c r="L133">
        <f t="shared" si="12"/>
        <v>6604</v>
      </c>
      <c r="M133">
        <f t="shared" si="13"/>
        <v>7661.5</v>
      </c>
    </row>
    <row r="134" spans="1:13" x14ac:dyDescent="0.3">
      <c r="A134" s="2">
        <f>[1]HHS_Unaccompanied_Alien_Childre!G134</f>
        <v>45141</v>
      </c>
      <c r="B134">
        <f>[2]HHS_Unaccompanied_Alien_Childre!B134</f>
        <v>167</v>
      </c>
      <c r="C134">
        <f>[3]HHS_Unaccompanied_Alien_Childre!C134</f>
        <v>209</v>
      </c>
      <c r="D134">
        <f>[2]HHS_Unaccompanied_Alien_Childre!D134</f>
        <v>157</v>
      </c>
      <c r="E134">
        <f>[2]HHS_Unaccompanied_Alien_Childre!E134</f>
        <v>8294</v>
      </c>
      <c r="F134">
        <f>[3]HHS_Unaccompanied_Alien_Childre!F134</f>
        <v>339</v>
      </c>
      <c r="G134">
        <f t="shared" si="15"/>
        <v>33</v>
      </c>
      <c r="H134" t="str">
        <f t="shared" si="16"/>
        <v>Increase</v>
      </c>
      <c r="I134">
        <f t="shared" si="14"/>
        <v>10</v>
      </c>
      <c r="J134">
        <f t="shared" si="10"/>
        <v>8294</v>
      </c>
      <c r="K134">
        <f t="shared" si="11"/>
        <v>7510</v>
      </c>
      <c r="L134">
        <f t="shared" si="12"/>
        <v>6468</v>
      </c>
      <c r="M134">
        <f t="shared" si="13"/>
        <v>7885.5</v>
      </c>
    </row>
    <row r="135" spans="1:13" x14ac:dyDescent="0.3">
      <c r="A135" s="2">
        <f>[1]HHS_Unaccompanied_Alien_Childre!G135</f>
        <v>45144</v>
      </c>
      <c r="B135">
        <f>[2]HHS_Unaccompanied_Alien_Childre!B135</f>
        <v>109</v>
      </c>
      <c r="C135">
        <f>[3]HHS_Unaccompanied_Alien_Childre!C135</f>
        <v>245</v>
      </c>
      <c r="D135">
        <f>[2]HHS_Unaccompanied_Alien_Childre!D135</f>
        <v>159</v>
      </c>
      <c r="E135">
        <f>[2]HHS_Unaccompanied_Alien_Childre!E135</f>
        <v>8298</v>
      </c>
      <c r="F135">
        <f>[3]HHS_Unaccompanied_Alien_Childre!F135</f>
        <v>322</v>
      </c>
      <c r="G135">
        <f t="shared" si="15"/>
        <v>4</v>
      </c>
      <c r="H135" t="str">
        <f t="shared" si="16"/>
        <v>Increase</v>
      </c>
      <c r="I135">
        <f t="shared" si="14"/>
        <v>-50</v>
      </c>
      <c r="J135">
        <f t="shared" si="10"/>
        <v>8298</v>
      </c>
      <c r="K135">
        <f t="shared" si="11"/>
        <v>7647</v>
      </c>
      <c r="L135">
        <f t="shared" si="12"/>
        <v>6632</v>
      </c>
      <c r="M135">
        <f t="shared" si="13"/>
        <v>7970.5</v>
      </c>
    </row>
    <row r="136" spans="1:13" x14ac:dyDescent="0.3">
      <c r="A136" s="2">
        <f>[1]HHS_Unaccompanied_Alien_Childre!G136</f>
        <v>45145</v>
      </c>
      <c r="B136">
        <f>[2]HHS_Unaccompanied_Alien_Childre!B136</f>
        <v>156</v>
      </c>
      <c r="C136">
        <f>[3]HHS_Unaccompanied_Alien_Childre!C136</f>
        <v>256</v>
      </c>
      <c r="D136">
        <f>[2]HHS_Unaccompanied_Alien_Childre!D136</f>
        <v>176</v>
      </c>
      <c r="E136">
        <f>[2]HHS_Unaccompanied_Alien_Childre!E136</f>
        <v>8493</v>
      </c>
      <c r="F136">
        <f>[3]HHS_Unaccompanied_Alien_Childre!F136</f>
        <v>202</v>
      </c>
      <c r="G136">
        <f t="shared" si="15"/>
        <v>195</v>
      </c>
      <c r="H136" t="str">
        <f t="shared" si="16"/>
        <v>Increase</v>
      </c>
      <c r="I136">
        <f t="shared" si="14"/>
        <v>-20</v>
      </c>
      <c r="J136">
        <f t="shared" si="10"/>
        <v>8493</v>
      </c>
      <c r="K136">
        <f t="shared" si="11"/>
        <v>7754</v>
      </c>
      <c r="L136">
        <f t="shared" si="12"/>
        <v>6874</v>
      </c>
      <c r="M136">
        <f t="shared" si="13"/>
        <v>8026</v>
      </c>
    </row>
    <row r="137" spans="1:13" x14ac:dyDescent="0.3">
      <c r="A137" s="2">
        <f>[1]HHS_Unaccompanied_Alien_Childre!G137</f>
        <v>45146</v>
      </c>
      <c r="B137">
        <f>[2]HHS_Unaccompanied_Alien_Childre!B137</f>
        <v>125</v>
      </c>
      <c r="C137">
        <f>[3]HHS_Unaccompanied_Alien_Childre!C137</f>
        <v>232</v>
      </c>
      <c r="D137">
        <f>[2]HHS_Unaccompanied_Alien_Childre!D137</f>
        <v>192</v>
      </c>
      <c r="E137">
        <f>[2]HHS_Unaccompanied_Alien_Childre!E137</f>
        <v>8725</v>
      </c>
      <c r="F137">
        <f>[3]HHS_Unaccompanied_Alien_Childre!F137</f>
        <v>207</v>
      </c>
      <c r="G137">
        <f t="shared" si="15"/>
        <v>232</v>
      </c>
      <c r="H137" t="str">
        <f t="shared" si="16"/>
        <v>Increase</v>
      </c>
      <c r="I137">
        <f t="shared" si="14"/>
        <v>-67</v>
      </c>
      <c r="J137">
        <f t="shared" si="10"/>
        <v>8725</v>
      </c>
      <c r="K137">
        <f t="shared" si="11"/>
        <v>7671</v>
      </c>
      <c r="L137">
        <f t="shared" si="12"/>
        <v>7001</v>
      </c>
      <c r="M137">
        <f t="shared" si="13"/>
        <v>8082</v>
      </c>
    </row>
    <row r="138" spans="1:13" x14ac:dyDescent="0.3">
      <c r="A138" s="2">
        <f>[1]HHS_Unaccompanied_Alien_Childre!G138</f>
        <v>45147</v>
      </c>
      <c r="B138">
        <f>[2]HHS_Unaccompanied_Alien_Childre!B138</f>
        <v>118</v>
      </c>
      <c r="C138">
        <f>[3]HHS_Unaccompanied_Alien_Childre!C138</f>
        <v>139</v>
      </c>
      <c r="D138">
        <f>[2]HHS_Unaccompanied_Alien_Childre!D138</f>
        <v>168</v>
      </c>
      <c r="E138">
        <f>[2]HHS_Unaccompanied_Alien_Childre!E138</f>
        <v>8888</v>
      </c>
      <c r="F138">
        <f>[3]HHS_Unaccompanied_Alien_Childre!F138</f>
        <v>251</v>
      </c>
      <c r="G138">
        <f t="shared" si="15"/>
        <v>163</v>
      </c>
      <c r="H138" t="str">
        <f t="shared" si="16"/>
        <v>Increase</v>
      </c>
      <c r="I138">
        <f t="shared" si="14"/>
        <v>-50</v>
      </c>
      <c r="J138">
        <f t="shared" si="10"/>
        <v>8888</v>
      </c>
      <c r="K138">
        <f t="shared" si="11"/>
        <v>7800</v>
      </c>
      <c r="L138">
        <f t="shared" si="12"/>
        <v>7116</v>
      </c>
      <c r="M138">
        <f t="shared" si="13"/>
        <v>8262.5</v>
      </c>
    </row>
    <row r="139" spans="1:13" x14ac:dyDescent="0.3">
      <c r="A139" s="2">
        <f>[1]HHS_Unaccompanied_Alien_Childre!G139</f>
        <v>45148</v>
      </c>
      <c r="B139">
        <f>[2]HHS_Unaccompanied_Alien_Childre!B139</f>
        <v>142</v>
      </c>
      <c r="C139">
        <f>[3]HHS_Unaccompanied_Alien_Childre!C139</f>
        <v>235</v>
      </c>
      <c r="D139">
        <f>[2]HHS_Unaccompanied_Alien_Childre!D139</f>
        <v>139</v>
      </c>
      <c r="E139">
        <f>[2]HHS_Unaccompanied_Alien_Childre!E139</f>
        <v>8914</v>
      </c>
      <c r="F139">
        <f>[3]HHS_Unaccompanied_Alien_Childre!F139</f>
        <v>353</v>
      </c>
      <c r="G139">
        <f t="shared" si="15"/>
        <v>26</v>
      </c>
      <c r="H139" t="str">
        <f t="shared" si="16"/>
        <v>Increase</v>
      </c>
      <c r="I139">
        <f t="shared" si="14"/>
        <v>3</v>
      </c>
      <c r="J139">
        <f t="shared" si="10"/>
        <v>8914</v>
      </c>
      <c r="K139">
        <f t="shared" si="11"/>
        <v>8103</v>
      </c>
      <c r="L139">
        <f t="shared" si="12"/>
        <v>7052</v>
      </c>
      <c r="M139">
        <f t="shared" si="13"/>
        <v>8495.5</v>
      </c>
    </row>
    <row r="140" spans="1:13" x14ac:dyDescent="0.3">
      <c r="A140" s="2">
        <f>[1]HHS_Unaccompanied_Alien_Childre!G140</f>
        <v>45154</v>
      </c>
      <c r="B140">
        <f>[2]HHS_Unaccompanied_Alien_Childre!B140</f>
        <v>148</v>
      </c>
      <c r="C140">
        <f>[3]HHS_Unaccompanied_Alien_Childre!C140</f>
        <v>245</v>
      </c>
      <c r="D140">
        <f>[2]HHS_Unaccompanied_Alien_Childre!D140</f>
        <v>175</v>
      </c>
      <c r="E140">
        <f>[2]HHS_Unaccompanied_Alien_Childre!E140</f>
        <v>9634</v>
      </c>
      <c r="F140">
        <f>[3]HHS_Unaccompanied_Alien_Childre!F140</f>
        <v>288</v>
      </c>
      <c r="G140">
        <f t="shared" si="15"/>
        <v>720</v>
      </c>
      <c r="H140" t="str">
        <f t="shared" si="16"/>
        <v>Increase</v>
      </c>
      <c r="I140">
        <f t="shared" si="14"/>
        <v>-27</v>
      </c>
      <c r="J140">
        <f t="shared" si="10"/>
        <v>9634</v>
      </c>
      <c r="K140">
        <f t="shared" si="11"/>
        <v>8261</v>
      </c>
      <c r="L140">
        <f t="shared" si="12"/>
        <v>7220</v>
      </c>
      <c r="M140">
        <f t="shared" si="13"/>
        <v>8587.5</v>
      </c>
    </row>
    <row r="141" spans="1:13" x14ac:dyDescent="0.3">
      <c r="A141" s="2">
        <f>[1]HHS_Unaccompanied_Alien_Childre!G141</f>
        <v>45155</v>
      </c>
      <c r="B141">
        <f>[2]HHS_Unaccompanied_Alien_Childre!B141</f>
        <v>119</v>
      </c>
      <c r="C141">
        <f>[3]HHS_Unaccompanied_Alien_Childre!C141</f>
        <v>219</v>
      </c>
      <c r="D141">
        <f>[2]HHS_Unaccompanied_Alien_Childre!D141</f>
        <v>210</v>
      </c>
      <c r="E141">
        <f>[2]HHS_Unaccompanied_Alien_Childre!E141</f>
        <v>9694</v>
      </c>
      <c r="F141">
        <f>[3]HHS_Unaccompanied_Alien_Childre!F141</f>
        <v>407</v>
      </c>
      <c r="G141">
        <f t="shared" si="15"/>
        <v>60</v>
      </c>
      <c r="H141" t="str">
        <f t="shared" si="16"/>
        <v>Increase</v>
      </c>
      <c r="I141">
        <f t="shared" si="14"/>
        <v>-91</v>
      </c>
      <c r="J141">
        <f t="shared" si="10"/>
        <v>9694</v>
      </c>
      <c r="K141">
        <f t="shared" si="11"/>
        <v>8294</v>
      </c>
      <c r="L141">
        <f t="shared" si="12"/>
        <v>7510</v>
      </c>
      <c r="M141">
        <f t="shared" si="13"/>
        <v>8964</v>
      </c>
    </row>
    <row r="142" spans="1:13" x14ac:dyDescent="0.3">
      <c r="A142" s="2">
        <f>[1]HHS_Unaccompanied_Alien_Childre!G142</f>
        <v>45158</v>
      </c>
      <c r="B142">
        <f>[2]HHS_Unaccompanied_Alien_Childre!B142</f>
        <v>105</v>
      </c>
      <c r="C142">
        <f>[3]HHS_Unaccompanied_Alien_Childre!C142</f>
        <v>210</v>
      </c>
      <c r="D142">
        <f>[2]HHS_Unaccompanied_Alien_Childre!D142</f>
        <v>149</v>
      </c>
      <c r="E142">
        <f>[2]HHS_Unaccompanied_Alien_Childre!E142</f>
        <v>9483</v>
      </c>
      <c r="F142">
        <f>[3]HHS_Unaccompanied_Alien_Childre!F142</f>
        <v>390</v>
      </c>
      <c r="G142">
        <f t="shared" si="15"/>
        <v>-211</v>
      </c>
      <c r="H142" t="str">
        <f t="shared" si="16"/>
        <v>Decrease</v>
      </c>
      <c r="I142">
        <f t="shared" si="14"/>
        <v>-44</v>
      </c>
      <c r="J142">
        <f t="shared" si="10"/>
        <v>9483</v>
      </c>
      <c r="K142">
        <f t="shared" si="11"/>
        <v>8298</v>
      </c>
      <c r="L142">
        <f t="shared" si="12"/>
        <v>7647</v>
      </c>
      <c r="M142">
        <f t="shared" si="13"/>
        <v>8996</v>
      </c>
    </row>
    <row r="143" spans="1:13" x14ac:dyDescent="0.3">
      <c r="A143" s="2">
        <f>[1]HHS_Unaccompanied_Alien_Childre!G143</f>
        <v>45159</v>
      </c>
      <c r="B143">
        <f>[2]HHS_Unaccompanied_Alien_Childre!B143</f>
        <v>143</v>
      </c>
      <c r="C143">
        <f>[3]HHS_Unaccompanied_Alien_Childre!C143</f>
        <v>203</v>
      </c>
      <c r="D143">
        <f>[2]HHS_Unaccompanied_Alien_Childre!D143</f>
        <v>163</v>
      </c>
      <c r="E143">
        <f>[2]HHS_Unaccompanied_Alien_Childre!E143</f>
        <v>9668</v>
      </c>
      <c r="F143">
        <f>[3]HHS_Unaccompanied_Alien_Childre!F143</f>
        <v>281</v>
      </c>
      <c r="G143">
        <f t="shared" si="15"/>
        <v>185</v>
      </c>
      <c r="H143" t="str">
        <f t="shared" si="16"/>
        <v>Increase</v>
      </c>
      <c r="I143">
        <f t="shared" si="14"/>
        <v>-20</v>
      </c>
      <c r="J143">
        <f t="shared" si="10"/>
        <v>9668</v>
      </c>
      <c r="K143">
        <f t="shared" si="11"/>
        <v>8493</v>
      </c>
      <c r="L143">
        <f t="shared" si="12"/>
        <v>7754</v>
      </c>
      <c r="M143">
        <f t="shared" si="13"/>
        <v>8988</v>
      </c>
    </row>
    <row r="144" spans="1:13" x14ac:dyDescent="0.3">
      <c r="A144" s="2">
        <f>[1]HHS_Unaccompanied_Alien_Childre!G144</f>
        <v>45160</v>
      </c>
      <c r="B144">
        <f>[2]HHS_Unaccompanied_Alien_Childre!B144</f>
        <v>119</v>
      </c>
      <c r="C144">
        <f>[3]HHS_Unaccompanied_Alien_Childre!C144</f>
        <v>209</v>
      </c>
      <c r="D144">
        <f>[2]HHS_Unaccompanied_Alien_Childre!D144</f>
        <v>152</v>
      </c>
      <c r="E144">
        <f>[2]HHS_Unaccompanied_Alien_Childre!E144</f>
        <v>9921</v>
      </c>
      <c r="F144">
        <f>[3]HHS_Unaccompanied_Alien_Childre!F144</f>
        <v>230</v>
      </c>
      <c r="G144">
        <f t="shared" si="15"/>
        <v>253</v>
      </c>
      <c r="H144" t="str">
        <f t="shared" si="16"/>
        <v>Increase</v>
      </c>
      <c r="I144">
        <f t="shared" si="14"/>
        <v>-33</v>
      </c>
      <c r="J144">
        <f t="shared" si="10"/>
        <v>9921</v>
      </c>
      <c r="K144">
        <f t="shared" si="11"/>
        <v>8725</v>
      </c>
      <c r="L144">
        <f t="shared" si="12"/>
        <v>7671</v>
      </c>
      <c r="M144">
        <f t="shared" si="13"/>
        <v>9196.5</v>
      </c>
    </row>
    <row r="145" spans="1:13" x14ac:dyDescent="0.3">
      <c r="A145" s="2">
        <f>[1]HHS_Unaccompanied_Alien_Childre!G145</f>
        <v>45161</v>
      </c>
      <c r="B145">
        <f>[2]HHS_Unaccompanied_Alien_Childre!B145</f>
        <v>155</v>
      </c>
      <c r="C145">
        <f>[3]HHS_Unaccompanied_Alien_Childre!C145</f>
        <v>212</v>
      </c>
      <c r="D145">
        <f>[2]HHS_Unaccompanied_Alien_Childre!D145</f>
        <v>181</v>
      </c>
      <c r="E145">
        <f>[2]HHS_Unaccompanied_Alien_Childre!E145</f>
        <v>10071</v>
      </c>
      <c r="F145">
        <f>[3]HHS_Unaccompanied_Alien_Childre!F145</f>
        <v>285</v>
      </c>
      <c r="G145">
        <f t="shared" si="15"/>
        <v>150</v>
      </c>
      <c r="H145" t="str">
        <f t="shared" si="16"/>
        <v>Increase</v>
      </c>
      <c r="I145">
        <f t="shared" si="14"/>
        <v>-26</v>
      </c>
      <c r="J145">
        <f t="shared" ref="J145:J208" si="17">E145</f>
        <v>10071</v>
      </c>
      <c r="K145">
        <f t="shared" ref="K145:K208" si="18">E138</f>
        <v>8888</v>
      </c>
      <c r="L145">
        <f t="shared" ref="L145:L208" si="19">E131</f>
        <v>7800</v>
      </c>
      <c r="M145">
        <f t="shared" ref="M145:M208" si="20">AVERAGE(E138,E144)</f>
        <v>9404.5</v>
      </c>
    </row>
    <row r="146" spans="1:13" x14ac:dyDescent="0.3">
      <c r="A146" s="2">
        <f>[1]HHS_Unaccompanied_Alien_Childre!G146</f>
        <v>45162</v>
      </c>
      <c r="B146">
        <f>[2]HHS_Unaccompanied_Alien_Childre!B146</f>
        <v>109</v>
      </c>
      <c r="C146">
        <f>[3]HHS_Unaccompanied_Alien_Childre!C146</f>
        <v>214</v>
      </c>
      <c r="D146">
        <f>[2]HHS_Unaccompanied_Alien_Childre!D146</f>
        <v>173</v>
      </c>
      <c r="E146">
        <f>[2]HHS_Unaccompanied_Alien_Childre!E146</f>
        <v>10026</v>
      </c>
      <c r="F146">
        <f>[3]HHS_Unaccompanied_Alien_Childre!F146</f>
        <v>443</v>
      </c>
      <c r="G146">
        <f t="shared" si="15"/>
        <v>-45</v>
      </c>
      <c r="H146" t="str">
        <f t="shared" si="16"/>
        <v>Decrease</v>
      </c>
      <c r="I146">
        <f t="shared" si="14"/>
        <v>-64</v>
      </c>
      <c r="J146">
        <f t="shared" si="17"/>
        <v>10026</v>
      </c>
      <c r="K146">
        <f t="shared" si="18"/>
        <v>8914</v>
      </c>
      <c r="L146">
        <f t="shared" si="19"/>
        <v>8103</v>
      </c>
      <c r="M146">
        <f t="shared" si="20"/>
        <v>9492.5</v>
      </c>
    </row>
    <row r="147" spans="1:13" x14ac:dyDescent="0.3">
      <c r="A147" s="2">
        <f>[1]HHS_Unaccompanied_Alien_Childre!G147</f>
        <v>45165</v>
      </c>
      <c r="B147">
        <f>[2]HHS_Unaccompanied_Alien_Childre!B147</f>
        <v>191</v>
      </c>
      <c r="C147">
        <f>[3]HHS_Unaccompanied_Alien_Childre!C147</f>
        <v>283</v>
      </c>
      <c r="D147">
        <f>[2]HHS_Unaccompanied_Alien_Childre!D147</f>
        <v>192</v>
      </c>
      <c r="E147">
        <f>[2]HHS_Unaccompanied_Alien_Childre!E147</f>
        <v>9873</v>
      </c>
      <c r="F147">
        <f>[3]HHS_Unaccompanied_Alien_Childre!F147</f>
        <v>488</v>
      </c>
      <c r="G147">
        <f t="shared" si="15"/>
        <v>-153</v>
      </c>
      <c r="H147" t="str">
        <f t="shared" si="16"/>
        <v>Decrease</v>
      </c>
      <c r="I147">
        <f t="shared" si="14"/>
        <v>-1</v>
      </c>
      <c r="J147">
        <f t="shared" si="17"/>
        <v>9873</v>
      </c>
      <c r="K147">
        <f t="shared" si="18"/>
        <v>9634</v>
      </c>
      <c r="L147">
        <f t="shared" si="19"/>
        <v>8261</v>
      </c>
      <c r="M147">
        <f t="shared" si="20"/>
        <v>9830</v>
      </c>
    </row>
    <row r="148" spans="1:13" x14ac:dyDescent="0.3">
      <c r="A148" s="2">
        <f>[1]HHS_Unaccompanied_Alien_Childre!G148</f>
        <v>45166</v>
      </c>
      <c r="B148">
        <f>[2]HHS_Unaccompanied_Alien_Childre!B148</f>
        <v>170</v>
      </c>
      <c r="C148">
        <f>[3]HHS_Unaccompanied_Alien_Childre!C148</f>
        <v>297</v>
      </c>
      <c r="D148">
        <f>[2]HHS_Unaccompanied_Alien_Childre!D148</f>
        <v>196</v>
      </c>
      <c r="E148">
        <f>[2]HHS_Unaccompanied_Alien_Childre!E148</f>
        <v>10012</v>
      </c>
      <c r="F148">
        <f>[3]HHS_Unaccompanied_Alien_Childre!F148</f>
        <v>388</v>
      </c>
      <c r="G148">
        <f t="shared" si="15"/>
        <v>139</v>
      </c>
      <c r="H148" t="str">
        <f t="shared" si="16"/>
        <v>Increase</v>
      </c>
      <c r="I148">
        <f t="shared" si="14"/>
        <v>-26</v>
      </c>
      <c r="J148">
        <f t="shared" si="17"/>
        <v>10012</v>
      </c>
      <c r="K148">
        <f t="shared" si="18"/>
        <v>9694</v>
      </c>
      <c r="L148">
        <f t="shared" si="19"/>
        <v>8294</v>
      </c>
      <c r="M148">
        <f t="shared" si="20"/>
        <v>9783.5</v>
      </c>
    </row>
    <row r="149" spans="1:13" x14ac:dyDescent="0.3">
      <c r="A149" s="2">
        <f>[1]HHS_Unaccompanied_Alien_Childre!G149</f>
        <v>45167</v>
      </c>
      <c r="B149">
        <f>[2]HHS_Unaccompanied_Alien_Childre!B149</f>
        <v>152</v>
      </c>
      <c r="C149">
        <f>[3]HHS_Unaccompanied_Alien_Childre!C149</f>
        <v>272</v>
      </c>
      <c r="D149">
        <f>[2]HHS_Unaccompanied_Alien_Childre!D149</f>
        <v>214</v>
      </c>
      <c r="E149">
        <f>[2]HHS_Unaccompanied_Alien_Childre!E149</f>
        <v>10180</v>
      </c>
      <c r="F149">
        <f>[3]HHS_Unaccompanied_Alien_Childre!F149</f>
        <v>286</v>
      </c>
      <c r="G149">
        <f t="shared" si="15"/>
        <v>168</v>
      </c>
      <c r="H149" t="str">
        <f t="shared" si="16"/>
        <v>Increase</v>
      </c>
      <c r="I149">
        <f t="shared" si="14"/>
        <v>-62</v>
      </c>
      <c r="J149">
        <f t="shared" si="17"/>
        <v>10180</v>
      </c>
      <c r="K149">
        <f t="shared" si="18"/>
        <v>9483</v>
      </c>
      <c r="L149">
        <f t="shared" si="19"/>
        <v>8298</v>
      </c>
      <c r="M149">
        <f t="shared" si="20"/>
        <v>9747.5</v>
      </c>
    </row>
    <row r="150" spans="1:13" x14ac:dyDescent="0.3">
      <c r="A150" s="2">
        <f>[1]HHS_Unaccompanied_Alien_Childre!G150</f>
        <v>45168</v>
      </c>
      <c r="B150">
        <f>[2]HHS_Unaccompanied_Alien_Childre!B150</f>
        <v>239</v>
      </c>
      <c r="C150">
        <f>[3]HHS_Unaccompanied_Alien_Childre!C150</f>
        <v>367</v>
      </c>
      <c r="D150">
        <f>[2]HHS_Unaccompanied_Alien_Childre!D150</f>
        <v>224</v>
      </c>
      <c r="E150">
        <f>[2]HHS_Unaccompanied_Alien_Childre!E150</f>
        <v>10280</v>
      </c>
      <c r="F150">
        <f>[3]HHS_Unaccompanied_Alien_Childre!F150</f>
        <v>366</v>
      </c>
      <c r="G150">
        <f t="shared" si="15"/>
        <v>100</v>
      </c>
      <c r="H150" t="str">
        <f t="shared" si="16"/>
        <v>Increase</v>
      </c>
      <c r="I150">
        <f t="shared" si="14"/>
        <v>15</v>
      </c>
      <c r="J150">
        <f t="shared" si="17"/>
        <v>10280</v>
      </c>
      <c r="K150">
        <f t="shared" si="18"/>
        <v>9668</v>
      </c>
      <c r="L150">
        <f t="shared" si="19"/>
        <v>8493</v>
      </c>
      <c r="M150">
        <f t="shared" si="20"/>
        <v>9924</v>
      </c>
    </row>
    <row r="151" spans="1:13" x14ac:dyDescent="0.3">
      <c r="A151" s="2">
        <f>[1]HHS_Unaccompanied_Alien_Childre!G151</f>
        <v>45169</v>
      </c>
      <c r="B151">
        <f>[2]HHS_Unaccompanied_Alien_Childre!B151</f>
        <v>113</v>
      </c>
      <c r="C151">
        <f>[3]HHS_Unaccompanied_Alien_Childre!C151</f>
        <v>280</v>
      </c>
      <c r="D151">
        <f>[2]HHS_Unaccompanied_Alien_Childre!D151</f>
        <v>237</v>
      </c>
      <c r="E151">
        <f>[2]HHS_Unaccompanied_Alien_Childre!E151</f>
        <v>10140</v>
      </c>
      <c r="F151">
        <f>[3]HHS_Unaccompanied_Alien_Childre!F151</f>
        <v>505</v>
      </c>
      <c r="G151">
        <f t="shared" si="15"/>
        <v>-140</v>
      </c>
      <c r="H151" t="str">
        <f t="shared" si="16"/>
        <v>Decrease</v>
      </c>
      <c r="I151">
        <f t="shared" si="14"/>
        <v>-124</v>
      </c>
      <c r="J151">
        <f t="shared" si="17"/>
        <v>10140</v>
      </c>
      <c r="K151">
        <f t="shared" si="18"/>
        <v>9921</v>
      </c>
      <c r="L151">
        <f t="shared" si="19"/>
        <v>8725</v>
      </c>
      <c r="M151">
        <f t="shared" si="20"/>
        <v>10100.5</v>
      </c>
    </row>
    <row r="152" spans="1:13" x14ac:dyDescent="0.3">
      <c r="A152" s="2">
        <f>[1]HHS_Unaccompanied_Alien_Childre!G152</f>
        <v>45173</v>
      </c>
      <c r="B152">
        <f>[2]HHS_Unaccompanied_Alien_Childre!B152</f>
        <v>196</v>
      </c>
      <c r="C152">
        <f>[3]HHS_Unaccompanied_Alien_Childre!C152</f>
        <v>306</v>
      </c>
      <c r="D152">
        <f>[2]HHS_Unaccompanied_Alien_Childre!D152</f>
        <v>187</v>
      </c>
      <c r="E152">
        <f>[2]HHS_Unaccompanied_Alien_Childre!E152</f>
        <v>9988</v>
      </c>
      <c r="F152">
        <f>[3]HHS_Unaccompanied_Alien_Childre!F152</f>
        <v>293</v>
      </c>
      <c r="G152">
        <f t="shared" si="15"/>
        <v>-152</v>
      </c>
      <c r="H152" t="str">
        <f t="shared" si="16"/>
        <v>Decrease</v>
      </c>
      <c r="I152">
        <f t="shared" si="14"/>
        <v>9</v>
      </c>
      <c r="J152">
        <f t="shared" si="17"/>
        <v>9988</v>
      </c>
      <c r="K152">
        <f t="shared" si="18"/>
        <v>10071</v>
      </c>
      <c r="L152">
        <f t="shared" si="19"/>
        <v>8888</v>
      </c>
      <c r="M152">
        <f t="shared" si="20"/>
        <v>10105.5</v>
      </c>
    </row>
    <row r="153" spans="1:13" x14ac:dyDescent="0.3">
      <c r="A153" s="2">
        <f>[1]HHS_Unaccompanied_Alien_Childre!G153</f>
        <v>45174</v>
      </c>
      <c r="B153">
        <f>[2]HHS_Unaccompanied_Alien_Childre!B153</f>
        <v>236</v>
      </c>
      <c r="C153">
        <f>[3]HHS_Unaccompanied_Alien_Childre!C153</f>
        <v>330</v>
      </c>
      <c r="D153">
        <f>[2]HHS_Unaccompanied_Alien_Childre!D153</f>
        <v>222</v>
      </c>
      <c r="E153">
        <f>[2]HHS_Unaccompanied_Alien_Childre!E153</f>
        <v>10142</v>
      </c>
      <c r="F153">
        <f>[3]HHS_Unaccompanied_Alien_Childre!F153</f>
        <v>243</v>
      </c>
      <c r="G153">
        <f t="shared" si="15"/>
        <v>154</v>
      </c>
      <c r="H153" t="str">
        <f t="shared" si="16"/>
        <v>Increase</v>
      </c>
      <c r="I153">
        <f t="shared" si="14"/>
        <v>14</v>
      </c>
      <c r="J153">
        <f t="shared" si="17"/>
        <v>10142</v>
      </c>
      <c r="K153">
        <f t="shared" si="18"/>
        <v>10026</v>
      </c>
      <c r="L153">
        <f t="shared" si="19"/>
        <v>8914</v>
      </c>
      <c r="M153">
        <f t="shared" si="20"/>
        <v>10007</v>
      </c>
    </row>
    <row r="154" spans="1:13" x14ac:dyDescent="0.3">
      <c r="A154" s="2">
        <f>[1]HHS_Unaccompanied_Alien_Childre!G154</f>
        <v>45175</v>
      </c>
      <c r="B154">
        <f>[2]HHS_Unaccompanied_Alien_Childre!B154</f>
        <v>81</v>
      </c>
      <c r="C154">
        <f>[3]HHS_Unaccompanied_Alien_Childre!C154</f>
        <v>230</v>
      </c>
      <c r="D154">
        <f>[2]HHS_Unaccompanied_Alien_Childre!D154</f>
        <v>242</v>
      </c>
      <c r="E154">
        <f>[2]HHS_Unaccompanied_Alien_Childre!E154</f>
        <v>10356</v>
      </c>
      <c r="F154">
        <f>[3]HHS_Unaccompanied_Alien_Childre!F154</f>
        <v>291</v>
      </c>
      <c r="G154">
        <f t="shared" si="15"/>
        <v>214</v>
      </c>
      <c r="H154" t="str">
        <f t="shared" si="16"/>
        <v>Increase</v>
      </c>
      <c r="I154">
        <f t="shared" si="14"/>
        <v>-161</v>
      </c>
      <c r="J154">
        <f t="shared" si="17"/>
        <v>10356</v>
      </c>
      <c r="K154">
        <f t="shared" si="18"/>
        <v>9873</v>
      </c>
      <c r="L154">
        <f t="shared" si="19"/>
        <v>9634</v>
      </c>
      <c r="M154">
        <f t="shared" si="20"/>
        <v>10007.5</v>
      </c>
    </row>
    <row r="155" spans="1:13" x14ac:dyDescent="0.3">
      <c r="A155" s="2">
        <f>[1]HHS_Unaccompanied_Alien_Childre!G155</f>
        <v>45176</v>
      </c>
      <c r="B155">
        <f>[2]HHS_Unaccompanied_Alien_Childre!B155</f>
        <v>118</v>
      </c>
      <c r="C155">
        <f>[3]HHS_Unaccompanied_Alien_Childre!C155</f>
        <v>245</v>
      </c>
      <c r="D155">
        <f>[2]HHS_Unaccompanied_Alien_Childre!D155</f>
        <v>160</v>
      </c>
      <c r="E155">
        <f>[2]HHS_Unaccompanied_Alien_Childre!E155</f>
        <v>10419</v>
      </c>
      <c r="F155">
        <f>[3]HHS_Unaccompanied_Alien_Childre!F155</f>
        <v>398</v>
      </c>
      <c r="G155">
        <f t="shared" si="15"/>
        <v>63</v>
      </c>
      <c r="H155" t="str">
        <f t="shared" si="16"/>
        <v>Increase</v>
      </c>
      <c r="I155">
        <f t="shared" si="14"/>
        <v>-42</v>
      </c>
      <c r="J155">
        <f t="shared" si="17"/>
        <v>10419</v>
      </c>
      <c r="K155">
        <f t="shared" si="18"/>
        <v>10012</v>
      </c>
      <c r="L155">
        <f t="shared" si="19"/>
        <v>9694</v>
      </c>
      <c r="M155">
        <f t="shared" si="20"/>
        <v>10184</v>
      </c>
    </row>
    <row r="156" spans="1:13" x14ac:dyDescent="0.3">
      <c r="A156" s="2">
        <f>[1]HHS_Unaccompanied_Alien_Childre!G156</f>
        <v>45179</v>
      </c>
      <c r="B156">
        <f>[2]HHS_Unaccompanied_Alien_Childre!B156</f>
        <v>218</v>
      </c>
      <c r="C156">
        <f>[3]HHS_Unaccompanied_Alien_Childre!C156</f>
        <v>283</v>
      </c>
      <c r="D156">
        <f>[2]HHS_Unaccompanied_Alien_Childre!D156</f>
        <v>208</v>
      </c>
      <c r="E156">
        <f>[2]HHS_Unaccompanied_Alien_Childre!E156</f>
        <v>10282</v>
      </c>
      <c r="F156">
        <f>[3]HHS_Unaccompanied_Alien_Childre!F156</f>
        <v>382</v>
      </c>
      <c r="G156">
        <f t="shared" si="15"/>
        <v>-137</v>
      </c>
      <c r="H156" t="str">
        <f t="shared" si="16"/>
        <v>Decrease</v>
      </c>
      <c r="I156">
        <f t="shared" si="14"/>
        <v>10</v>
      </c>
      <c r="J156">
        <f t="shared" si="17"/>
        <v>10282</v>
      </c>
      <c r="K156">
        <f t="shared" si="18"/>
        <v>10180</v>
      </c>
      <c r="L156">
        <f t="shared" si="19"/>
        <v>9483</v>
      </c>
      <c r="M156">
        <f t="shared" si="20"/>
        <v>10299.5</v>
      </c>
    </row>
    <row r="157" spans="1:13" x14ac:dyDescent="0.3">
      <c r="A157" s="2">
        <f>[1]HHS_Unaccompanied_Alien_Childre!G157</f>
        <v>45180</v>
      </c>
      <c r="B157">
        <f>[2]HHS_Unaccompanied_Alien_Childre!B157</f>
        <v>132</v>
      </c>
      <c r="C157">
        <f>[3]HHS_Unaccompanied_Alien_Childre!C157</f>
        <v>243</v>
      </c>
      <c r="D157">
        <f>[2]HHS_Unaccompanied_Alien_Childre!D157</f>
        <v>183</v>
      </c>
      <c r="E157">
        <f>[2]HHS_Unaccompanied_Alien_Childre!E157</f>
        <v>10492</v>
      </c>
      <c r="F157">
        <f>[3]HHS_Unaccompanied_Alien_Childre!F157</f>
        <v>277</v>
      </c>
      <c r="G157">
        <f t="shared" si="15"/>
        <v>210</v>
      </c>
      <c r="H157" t="str">
        <f t="shared" si="16"/>
        <v>Increase</v>
      </c>
      <c r="I157">
        <f t="shared" si="14"/>
        <v>-51</v>
      </c>
      <c r="J157">
        <f t="shared" si="17"/>
        <v>10492</v>
      </c>
      <c r="K157">
        <f t="shared" si="18"/>
        <v>10280</v>
      </c>
      <c r="L157">
        <f t="shared" si="19"/>
        <v>9668</v>
      </c>
      <c r="M157">
        <f t="shared" si="20"/>
        <v>10281</v>
      </c>
    </row>
    <row r="158" spans="1:13" x14ac:dyDescent="0.3">
      <c r="A158" s="2">
        <f>[1]HHS_Unaccompanied_Alien_Childre!G158</f>
        <v>45181</v>
      </c>
      <c r="B158">
        <f>[2]HHS_Unaccompanied_Alien_Childre!B158</f>
        <v>224</v>
      </c>
      <c r="C158">
        <f>[3]HHS_Unaccompanied_Alien_Childre!C158</f>
        <v>315</v>
      </c>
      <c r="D158">
        <f>[2]HHS_Unaccompanied_Alien_Childre!D158</f>
        <v>152</v>
      </c>
      <c r="E158">
        <f>[2]HHS_Unaccompanied_Alien_Childre!E158</f>
        <v>10649</v>
      </c>
      <c r="F158">
        <f>[3]HHS_Unaccompanied_Alien_Childre!F158</f>
        <v>316</v>
      </c>
      <c r="G158">
        <f t="shared" si="15"/>
        <v>157</v>
      </c>
      <c r="H158" t="str">
        <f t="shared" si="16"/>
        <v>Increase</v>
      </c>
      <c r="I158">
        <f t="shared" si="14"/>
        <v>72</v>
      </c>
      <c r="J158">
        <f t="shared" si="17"/>
        <v>10649</v>
      </c>
      <c r="K158">
        <f t="shared" si="18"/>
        <v>10140</v>
      </c>
      <c r="L158">
        <f t="shared" si="19"/>
        <v>9921</v>
      </c>
      <c r="M158">
        <f t="shared" si="20"/>
        <v>10316</v>
      </c>
    </row>
    <row r="159" spans="1:13" x14ac:dyDescent="0.3">
      <c r="A159" s="2">
        <f>[1]HHS_Unaccompanied_Alien_Childre!G159</f>
        <v>45182</v>
      </c>
      <c r="B159">
        <f>[2]HHS_Unaccompanied_Alien_Childre!B159</f>
        <v>167</v>
      </c>
      <c r="C159">
        <f>[3]HHS_Unaccompanied_Alien_Childre!C159</f>
        <v>326</v>
      </c>
      <c r="D159">
        <f>[2]HHS_Unaccompanied_Alien_Childre!D159</f>
        <v>213</v>
      </c>
      <c r="E159">
        <f>[2]HHS_Unaccompanied_Alien_Childre!E159</f>
        <v>10678</v>
      </c>
      <c r="F159">
        <f>[3]HHS_Unaccompanied_Alien_Childre!F159</f>
        <v>343</v>
      </c>
      <c r="G159">
        <f t="shared" si="15"/>
        <v>29</v>
      </c>
      <c r="H159" t="str">
        <f t="shared" si="16"/>
        <v>Increase</v>
      </c>
      <c r="I159">
        <f t="shared" si="14"/>
        <v>-46</v>
      </c>
      <c r="J159">
        <f t="shared" si="17"/>
        <v>10678</v>
      </c>
      <c r="K159">
        <f t="shared" si="18"/>
        <v>9988</v>
      </c>
      <c r="L159">
        <f t="shared" si="19"/>
        <v>10071</v>
      </c>
      <c r="M159">
        <f t="shared" si="20"/>
        <v>10318.5</v>
      </c>
    </row>
    <row r="160" spans="1:13" x14ac:dyDescent="0.3">
      <c r="A160" s="2">
        <f>[1]HHS_Unaccompanied_Alien_Childre!G160</f>
        <v>45183</v>
      </c>
      <c r="B160">
        <f>[2]HHS_Unaccompanied_Alien_Childre!B160</f>
        <v>209</v>
      </c>
      <c r="C160">
        <f>[3]HHS_Unaccompanied_Alien_Childre!C160</f>
        <v>353</v>
      </c>
      <c r="D160">
        <f>[2]HHS_Unaccompanied_Alien_Childre!D160</f>
        <v>232</v>
      </c>
      <c r="E160">
        <f>[2]HHS_Unaccompanied_Alien_Childre!E160</f>
        <v>10837</v>
      </c>
      <c r="F160">
        <f>[3]HHS_Unaccompanied_Alien_Childre!F160</f>
        <v>414</v>
      </c>
      <c r="G160">
        <f t="shared" si="15"/>
        <v>159</v>
      </c>
      <c r="H160" t="str">
        <f t="shared" si="16"/>
        <v>Increase</v>
      </c>
      <c r="I160">
        <f t="shared" si="14"/>
        <v>-23</v>
      </c>
      <c r="J160">
        <f t="shared" si="17"/>
        <v>10837</v>
      </c>
      <c r="K160">
        <f t="shared" si="18"/>
        <v>10142</v>
      </c>
      <c r="L160">
        <f t="shared" si="19"/>
        <v>10026</v>
      </c>
      <c r="M160">
        <f t="shared" si="20"/>
        <v>10410</v>
      </c>
    </row>
    <row r="161" spans="1:13" x14ac:dyDescent="0.3">
      <c r="A161" s="2">
        <f>[1]HHS_Unaccompanied_Alien_Childre!G161</f>
        <v>45186</v>
      </c>
      <c r="B161">
        <f>[2]HHS_Unaccompanied_Alien_Childre!B161</f>
        <v>153</v>
      </c>
      <c r="C161">
        <f>[3]HHS_Unaccompanied_Alien_Childre!C161</f>
        <v>253</v>
      </c>
      <c r="D161">
        <f>[2]HHS_Unaccompanied_Alien_Childre!D161</f>
        <v>286</v>
      </c>
      <c r="E161">
        <f>[2]HHS_Unaccompanied_Alien_Childre!E161</f>
        <v>10799</v>
      </c>
      <c r="F161">
        <f>[3]HHS_Unaccompanied_Alien_Childre!F161</f>
        <v>427</v>
      </c>
      <c r="G161">
        <f t="shared" si="15"/>
        <v>-38</v>
      </c>
      <c r="H161" t="str">
        <f t="shared" si="16"/>
        <v>Decrease</v>
      </c>
      <c r="I161">
        <f t="shared" si="14"/>
        <v>-133</v>
      </c>
      <c r="J161">
        <f t="shared" si="17"/>
        <v>10799</v>
      </c>
      <c r="K161">
        <f t="shared" si="18"/>
        <v>10356</v>
      </c>
      <c r="L161">
        <f t="shared" si="19"/>
        <v>9873</v>
      </c>
      <c r="M161">
        <f t="shared" si="20"/>
        <v>10596.5</v>
      </c>
    </row>
    <row r="162" spans="1:13" x14ac:dyDescent="0.3">
      <c r="A162" s="2">
        <f>[1]HHS_Unaccompanied_Alien_Childre!G162</f>
        <v>45187</v>
      </c>
      <c r="B162">
        <f>[2]HHS_Unaccompanied_Alien_Childre!B162</f>
        <v>180</v>
      </c>
      <c r="C162">
        <f>[3]HHS_Unaccompanied_Alien_Childre!C162</f>
        <v>337</v>
      </c>
      <c r="D162">
        <f>[2]HHS_Unaccompanied_Alien_Childre!D162</f>
        <v>219</v>
      </c>
      <c r="E162">
        <f>[2]HHS_Unaccompanied_Alien_Childre!E162</f>
        <v>10892</v>
      </c>
      <c r="F162">
        <f>[3]HHS_Unaccompanied_Alien_Childre!F162</f>
        <v>313</v>
      </c>
      <c r="G162">
        <f t="shared" si="15"/>
        <v>93</v>
      </c>
      <c r="H162" t="str">
        <f t="shared" si="16"/>
        <v>Increase</v>
      </c>
      <c r="I162">
        <f t="shared" si="14"/>
        <v>-39</v>
      </c>
      <c r="J162">
        <f t="shared" si="17"/>
        <v>10892</v>
      </c>
      <c r="K162">
        <f t="shared" si="18"/>
        <v>10419</v>
      </c>
      <c r="L162">
        <f t="shared" si="19"/>
        <v>10012</v>
      </c>
      <c r="M162">
        <f t="shared" si="20"/>
        <v>10609</v>
      </c>
    </row>
    <row r="163" spans="1:13" x14ac:dyDescent="0.3">
      <c r="A163" s="2">
        <f>[1]HHS_Unaccompanied_Alien_Childre!G163</f>
        <v>45188</v>
      </c>
      <c r="B163">
        <f>[2]HHS_Unaccompanied_Alien_Childre!B163</f>
        <v>133</v>
      </c>
      <c r="C163">
        <f>[3]HHS_Unaccompanied_Alien_Childre!C163</f>
        <v>287</v>
      </c>
      <c r="D163">
        <f>[2]HHS_Unaccompanied_Alien_Childre!D163</f>
        <v>189</v>
      </c>
      <c r="E163">
        <f>[2]HHS_Unaccompanied_Alien_Childre!E163</f>
        <v>11095</v>
      </c>
      <c r="F163">
        <f>[3]HHS_Unaccompanied_Alien_Childre!F163</f>
        <v>260</v>
      </c>
      <c r="G163">
        <f t="shared" si="15"/>
        <v>203</v>
      </c>
      <c r="H163" t="str">
        <f t="shared" si="16"/>
        <v>Increase</v>
      </c>
      <c r="I163">
        <f t="shared" si="14"/>
        <v>-56</v>
      </c>
      <c r="J163">
        <f t="shared" si="17"/>
        <v>11095</v>
      </c>
      <c r="K163">
        <f t="shared" si="18"/>
        <v>10282</v>
      </c>
      <c r="L163">
        <f t="shared" si="19"/>
        <v>10180</v>
      </c>
      <c r="M163">
        <f t="shared" si="20"/>
        <v>10587</v>
      </c>
    </row>
    <row r="164" spans="1:13" x14ac:dyDescent="0.3">
      <c r="A164" s="2">
        <f>[1]HHS_Unaccompanied_Alien_Childre!G164</f>
        <v>45189</v>
      </c>
      <c r="B164">
        <f>[2]HHS_Unaccompanied_Alien_Childre!B164</f>
        <v>187</v>
      </c>
      <c r="C164">
        <f>[3]HHS_Unaccompanied_Alien_Childre!C164</f>
        <v>310</v>
      </c>
      <c r="D164">
        <f>[2]HHS_Unaccompanied_Alien_Childre!D164</f>
        <v>247</v>
      </c>
      <c r="E164">
        <f>[2]HHS_Unaccompanied_Alien_Childre!E164</f>
        <v>11064</v>
      </c>
      <c r="F164">
        <f>[3]HHS_Unaccompanied_Alien_Childre!F164</f>
        <v>364</v>
      </c>
      <c r="G164">
        <f t="shared" si="15"/>
        <v>-31</v>
      </c>
      <c r="H164" t="str">
        <f t="shared" si="16"/>
        <v>Decrease</v>
      </c>
      <c r="I164">
        <f t="shared" si="14"/>
        <v>-60</v>
      </c>
      <c r="J164">
        <f t="shared" si="17"/>
        <v>11064</v>
      </c>
      <c r="K164">
        <f t="shared" si="18"/>
        <v>10492</v>
      </c>
      <c r="L164">
        <f t="shared" si="19"/>
        <v>10280</v>
      </c>
      <c r="M164">
        <f t="shared" si="20"/>
        <v>10793.5</v>
      </c>
    </row>
    <row r="165" spans="1:13" x14ac:dyDescent="0.3">
      <c r="A165" s="2">
        <f>[1]HHS_Unaccompanied_Alien_Childre!G165</f>
        <v>45190</v>
      </c>
      <c r="B165">
        <f>[2]HHS_Unaccompanied_Alien_Childre!B165</f>
        <v>168</v>
      </c>
      <c r="C165">
        <f>[3]HHS_Unaccompanied_Alien_Childre!C165</f>
        <v>285</v>
      </c>
      <c r="D165">
        <f>[2]HHS_Unaccompanied_Alien_Childre!D165</f>
        <v>210</v>
      </c>
      <c r="E165">
        <f>[2]HHS_Unaccompanied_Alien_Childre!E165</f>
        <v>11067</v>
      </c>
      <c r="F165">
        <f>[3]HHS_Unaccompanied_Alien_Childre!F165</f>
        <v>428</v>
      </c>
      <c r="G165">
        <f t="shared" si="15"/>
        <v>3</v>
      </c>
      <c r="H165" t="str">
        <f t="shared" si="16"/>
        <v>Increase</v>
      </c>
      <c r="I165">
        <f t="shared" si="14"/>
        <v>-42</v>
      </c>
      <c r="J165">
        <f t="shared" si="17"/>
        <v>11067</v>
      </c>
      <c r="K165">
        <f t="shared" si="18"/>
        <v>10649</v>
      </c>
      <c r="L165">
        <f t="shared" si="19"/>
        <v>10140</v>
      </c>
      <c r="M165">
        <f t="shared" si="20"/>
        <v>10856.5</v>
      </c>
    </row>
    <row r="166" spans="1:13" x14ac:dyDescent="0.3">
      <c r="A166" s="2">
        <f>[1]HHS_Unaccompanied_Alien_Childre!G166</f>
        <v>45193</v>
      </c>
      <c r="B166">
        <f>[2]HHS_Unaccompanied_Alien_Childre!B166</f>
        <v>269</v>
      </c>
      <c r="C166">
        <f>[3]HHS_Unaccompanied_Alien_Childre!C166</f>
        <v>412</v>
      </c>
      <c r="D166">
        <f>[2]HHS_Unaccompanied_Alien_Childre!D166</f>
        <v>204</v>
      </c>
      <c r="E166">
        <f>[2]HHS_Unaccompanied_Alien_Childre!E166</f>
        <v>10744</v>
      </c>
      <c r="F166">
        <f>[3]HHS_Unaccompanied_Alien_Childre!F166</f>
        <v>403</v>
      </c>
      <c r="G166">
        <f t="shared" si="15"/>
        <v>-323</v>
      </c>
      <c r="H166" t="str">
        <f t="shared" si="16"/>
        <v>Decrease</v>
      </c>
      <c r="I166">
        <f t="shared" si="14"/>
        <v>65</v>
      </c>
      <c r="J166">
        <f t="shared" si="17"/>
        <v>10744</v>
      </c>
      <c r="K166">
        <f t="shared" si="18"/>
        <v>10678</v>
      </c>
      <c r="L166">
        <f t="shared" si="19"/>
        <v>9988</v>
      </c>
      <c r="M166">
        <f t="shared" si="20"/>
        <v>10872.5</v>
      </c>
    </row>
    <row r="167" spans="1:13" x14ac:dyDescent="0.3">
      <c r="A167" s="2">
        <f>[1]HHS_Unaccompanied_Alien_Childre!G167</f>
        <v>45194</v>
      </c>
      <c r="B167">
        <f>[2]HHS_Unaccompanied_Alien_Childre!B167</f>
        <v>100</v>
      </c>
      <c r="C167">
        <f>[3]HHS_Unaccompanied_Alien_Childre!C167</f>
        <v>255</v>
      </c>
      <c r="D167">
        <f>[2]HHS_Unaccompanied_Alien_Childre!D167</f>
        <v>236</v>
      </c>
      <c r="E167">
        <f>[2]HHS_Unaccompanied_Alien_Childre!E167</f>
        <v>10842</v>
      </c>
      <c r="F167">
        <f>[3]HHS_Unaccompanied_Alien_Childre!F167</f>
        <v>284</v>
      </c>
      <c r="G167">
        <f t="shared" si="15"/>
        <v>98</v>
      </c>
      <c r="H167" t="str">
        <f t="shared" si="16"/>
        <v>Increase</v>
      </c>
      <c r="I167">
        <f t="shared" si="14"/>
        <v>-136</v>
      </c>
      <c r="J167">
        <f t="shared" si="17"/>
        <v>10842</v>
      </c>
      <c r="K167">
        <f t="shared" si="18"/>
        <v>10837</v>
      </c>
      <c r="L167">
        <f t="shared" si="19"/>
        <v>10142</v>
      </c>
      <c r="M167">
        <f t="shared" si="20"/>
        <v>10790.5</v>
      </c>
    </row>
    <row r="168" spans="1:13" x14ac:dyDescent="0.3">
      <c r="A168" s="2">
        <f>[1]HHS_Unaccompanied_Alien_Childre!G168</f>
        <v>45195</v>
      </c>
      <c r="B168">
        <f>[2]HHS_Unaccompanied_Alien_Childre!B168</f>
        <v>205</v>
      </c>
      <c r="C168">
        <f>[3]HHS_Unaccompanied_Alien_Childre!C168</f>
        <v>294</v>
      </c>
      <c r="D168">
        <f>[2]HHS_Unaccompanied_Alien_Childre!D168</f>
        <v>177</v>
      </c>
      <c r="E168">
        <f>[2]HHS_Unaccompanied_Alien_Childre!E168</f>
        <v>10978</v>
      </c>
      <c r="F168">
        <f>[3]HHS_Unaccompanied_Alien_Childre!F168</f>
        <v>332</v>
      </c>
      <c r="G168">
        <f t="shared" si="15"/>
        <v>136</v>
      </c>
      <c r="H168" t="str">
        <f t="shared" si="16"/>
        <v>Increase</v>
      </c>
      <c r="I168">
        <f t="shared" si="14"/>
        <v>28</v>
      </c>
      <c r="J168">
        <f t="shared" si="17"/>
        <v>10978</v>
      </c>
      <c r="K168">
        <f t="shared" si="18"/>
        <v>10799</v>
      </c>
      <c r="L168">
        <f t="shared" si="19"/>
        <v>10356</v>
      </c>
      <c r="M168">
        <f t="shared" si="20"/>
        <v>10820.5</v>
      </c>
    </row>
    <row r="169" spans="1:13" x14ac:dyDescent="0.3">
      <c r="A169" s="2">
        <f>[1]HHS_Unaccompanied_Alien_Childre!G169</f>
        <v>45196</v>
      </c>
      <c r="B169">
        <f>[2]HHS_Unaccompanied_Alien_Childre!B169</f>
        <v>161</v>
      </c>
      <c r="C169">
        <f>[3]HHS_Unaccompanied_Alien_Childre!C169</f>
        <v>304</v>
      </c>
      <c r="D169">
        <f>[2]HHS_Unaccompanied_Alien_Childre!D169</f>
        <v>211</v>
      </c>
      <c r="E169">
        <f>[2]HHS_Unaccompanied_Alien_Childre!E169</f>
        <v>11017</v>
      </c>
      <c r="F169">
        <f>[3]HHS_Unaccompanied_Alien_Childre!F169</f>
        <v>331</v>
      </c>
      <c r="G169">
        <f t="shared" si="15"/>
        <v>39</v>
      </c>
      <c r="H169" t="str">
        <f t="shared" si="16"/>
        <v>Increase</v>
      </c>
      <c r="I169">
        <f t="shared" si="14"/>
        <v>-50</v>
      </c>
      <c r="J169">
        <f t="shared" si="17"/>
        <v>11017</v>
      </c>
      <c r="K169">
        <f t="shared" si="18"/>
        <v>10892</v>
      </c>
      <c r="L169">
        <f t="shared" si="19"/>
        <v>10419</v>
      </c>
      <c r="M169">
        <f t="shared" si="20"/>
        <v>10935</v>
      </c>
    </row>
    <row r="170" spans="1:13" x14ac:dyDescent="0.3">
      <c r="A170" s="2">
        <f>[1]HHS_Unaccompanied_Alien_Childre!G170</f>
        <v>45197</v>
      </c>
      <c r="B170">
        <f>[2]HHS_Unaccompanied_Alien_Childre!B170</f>
        <v>57</v>
      </c>
      <c r="C170">
        <f>[3]HHS_Unaccompanied_Alien_Childre!C170</f>
        <v>162</v>
      </c>
      <c r="D170">
        <f>[2]HHS_Unaccompanied_Alien_Childre!D170</f>
        <v>193</v>
      </c>
      <c r="E170">
        <f>[2]HHS_Unaccompanied_Alien_Childre!E170</f>
        <v>10984</v>
      </c>
      <c r="F170">
        <f>[3]HHS_Unaccompanied_Alien_Childre!F170</f>
        <v>447</v>
      </c>
      <c r="G170">
        <f t="shared" si="15"/>
        <v>-33</v>
      </c>
      <c r="H170" t="str">
        <f t="shared" si="16"/>
        <v>Decrease</v>
      </c>
      <c r="I170">
        <f t="shared" si="14"/>
        <v>-136</v>
      </c>
      <c r="J170">
        <f t="shared" si="17"/>
        <v>10984</v>
      </c>
      <c r="K170">
        <f t="shared" si="18"/>
        <v>11095</v>
      </c>
      <c r="L170">
        <f t="shared" si="19"/>
        <v>10282</v>
      </c>
      <c r="M170">
        <f t="shared" si="20"/>
        <v>11056</v>
      </c>
    </row>
    <row r="171" spans="1:13" x14ac:dyDescent="0.3">
      <c r="A171" s="2">
        <f>[1]HHS_Unaccompanied_Alien_Childre!G171</f>
        <v>45200</v>
      </c>
      <c r="B171">
        <f>[2]HHS_Unaccompanied_Alien_Childre!B171</f>
        <v>80</v>
      </c>
      <c r="C171">
        <f>[3]HHS_Unaccompanied_Alien_Childre!C171</f>
        <v>122</v>
      </c>
      <c r="D171">
        <f>[2]HHS_Unaccompanied_Alien_Childre!D171</f>
        <v>152</v>
      </c>
      <c r="E171">
        <f>[2]HHS_Unaccompanied_Alien_Childre!E171</f>
        <v>10598</v>
      </c>
      <c r="F171">
        <f>[3]HHS_Unaccompanied_Alien_Childre!F171</f>
        <v>493</v>
      </c>
      <c r="G171">
        <f t="shared" si="15"/>
        <v>-386</v>
      </c>
      <c r="H171" t="str">
        <f t="shared" si="16"/>
        <v>Decrease</v>
      </c>
      <c r="I171">
        <f t="shared" si="14"/>
        <v>-72</v>
      </c>
      <c r="J171">
        <f t="shared" si="17"/>
        <v>10598</v>
      </c>
      <c r="K171">
        <f t="shared" si="18"/>
        <v>11064</v>
      </c>
      <c r="L171">
        <f t="shared" si="19"/>
        <v>10492</v>
      </c>
      <c r="M171">
        <f t="shared" si="20"/>
        <v>11024</v>
      </c>
    </row>
    <row r="172" spans="1:13" x14ac:dyDescent="0.3">
      <c r="A172" s="2">
        <f>[1]HHS_Unaccompanied_Alien_Childre!G172</f>
        <v>45201</v>
      </c>
      <c r="B172">
        <f>[2]HHS_Unaccompanied_Alien_Childre!B172</f>
        <v>107</v>
      </c>
      <c r="C172">
        <f>[3]HHS_Unaccompanied_Alien_Childre!C172</f>
        <v>170</v>
      </c>
      <c r="D172">
        <f>[2]HHS_Unaccompanied_Alien_Childre!D172</f>
        <v>133</v>
      </c>
      <c r="E172">
        <f>[2]HHS_Unaccompanied_Alien_Childre!E172</f>
        <v>10724</v>
      </c>
      <c r="F172">
        <f>[3]HHS_Unaccompanied_Alien_Childre!F172</f>
        <v>284</v>
      </c>
      <c r="G172">
        <f t="shared" si="15"/>
        <v>126</v>
      </c>
      <c r="H172" t="str">
        <f t="shared" si="16"/>
        <v>Increase</v>
      </c>
      <c r="I172">
        <f t="shared" si="14"/>
        <v>-26</v>
      </c>
      <c r="J172">
        <f t="shared" si="17"/>
        <v>10724</v>
      </c>
      <c r="K172">
        <f t="shared" si="18"/>
        <v>11067</v>
      </c>
      <c r="L172">
        <f t="shared" si="19"/>
        <v>10649</v>
      </c>
      <c r="M172">
        <f t="shared" si="20"/>
        <v>10832.5</v>
      </c>
    </row>
    <row r="173" spans="1:13" x14ac:dyDescent="0.3">
      <c r="A173" s="2">
        <f>[1]HHS_Unaccompanied_Alien_Childre!G173</f>
        <v>45202</v>
      </c>
      <c r="B173">
        <f>[2]HHS_Unaccompanied_Alien_Childre!B173</f>
        <v>99</v>
      </c>
      <c r="C173">
        <f>[3]HHS_Unaccompanied_Alien_Childre!C173</f>
        <v>156</v>
      </c>
      <c r="D173">
        <f>[2]HHS_Unaccompanied_Alien_Childre!D173</f>
        <v>139</v>
      </c>
      <c r="E173">
        <f>[2]HHS_Unaccompanied_Alien_Childre!E173</f>
        <v>10818</v>
      </c>
      <c r="F173">
        <f>[3]HHS_Unaccompanied_Alien_Childre!F173</f>
        <v>287</v>
      </c>
      <c r="G173">
        <f t="shared" si="15"/>
        <v>94</v>
      </c>
      <c r="H173" t="str">
        <f t="shared" si="16"/>
        <v>Increase</v>
      </c>
      <c r="I173">
        <f t="shared" si="14"/>
        <v>-40</v>
      </c>
      <c r="J173">
        <f t="shared" si="17"/>
        <v>10818</v>
      </c>
      <c r="K173">
        <f t="shared" si="18"/>
        <v>10744</v>
      </c>
      <c r="L173">
        <f t="shared" si="19"/>
        <v>10678</v>
      </c>
      <c r="M173">
        <f t="shared" si="20"/>
        <v>10734</v>
      </c>
    </row>
    <row r="174" spans="1:13" x14ac:dyDescent="0.3">
      <c r="A174" s="2">
        <f>[1]HHS_Unaccompanied_Alien_Childre!G174</f>
        <v>45203</v>
      </c>
      <c r="B174">
        <f>[2]HHS_Unaccompanied_Alien_Childre!B174</f>
        <v>25</v>
      </c>
      <c r="C174">
        <f>[3]HHS_Unaccompanied_Alien_Childre!C174</f>
        <v>66</v>
      </c>
      <c r="D174">
        <f>[2]HHS_Unaccompanied_Alien_Childre!D174</f>
        <v>94</v>
      </c>
      <c r="E174">
        <f>[2]HHS_Unaccompanied_Alien_Childre!E174</f>
        <v>10963</v>
      </c>
      <c r="F174">
        <f>[3]HHS_Unaccompanied_Alien_Childre!F174</f>
        <v>330</v>
      </c>
      <c r="G174">
        <f t="shared" si="15"/>
        <v>145</v>
      </c>
      <c r="H174" t="str">
        <f t="shared" si="16"/>
        <v>Increase</v>
      </c>
      <c r="I174">
        <f t="shared" si="14"/>
        <v>-69</v>
      </c>
      <c r="J174">
        <f t="shared" si="17"/>
        <v>10963</v>
      </c>
      <c r="K174">
        <f t="shared" si="18"/>
        <v>10842</v>
      </c>
      <c r="L174">
        <f t="shared" si="19"/>
        <v>10837</v>
      </c>
      <c r="M174">
        <f t="shared" si="20"/>
        <v>10830</v>
      </c>
    </row>
    <row r="175" spans="1:13" x14ac:dyDescent="0.3">
      <c r="A175" s="2">
        <f>[1]HHS_Unaccompanied_Alien_Childre!G175</f>
        <v>45204</v>
      </c>
      <c r="B175">
        <f>[2]HHS_Unaccompanied_Alien_Childre!B175</f>
        <v>35</v>
      </c>
      <c r="C175">
        <f>[3]HHS_Unaccompanied_Alien_Childre!C175</f>
        <v>70</v>
      </c>
      <c r="D175">
        <f>[2]HHS_Unaccompanied_Alien_Childre!D175</f>
        <v>53</v>
      </c>
      <c r="E175">
        <f>[2]HHS_Unaccompanied_Alien_Childre!E175</f>
        <v>11130</v>
      </c>
      <c r="F175">
        <f>[3]HHS_Unaccompanied_Alien_Childre!F175</f>
        <v>427</v>
      </c>
      <c r="G175">
        <f t="shared" si="15"/>
        <v>167</v>
      </c>
      <c r="H175" t="str">
        <f t="shared" si="16"/>
        <v>Increase</v>
      </c>
      <c r="I175">
        <f t="shared" si="14"/>
        <v>-18</v>
      </c>
      <c r="J175">
        <f t="shared" si="17"/>
        <v>11130</v>
      </c>
      <c r="K175">
        <f t="shared" si="18"/>
        <v>10978</v>
      </c>
      <c r="L175">
        <f t="shared" si="19"/>
        <v>10799</v>
      </c>
      <c r="M175">
        <f t="shared" si="20"/>
        <v>10970.5</v>
      </c>
    </row>
    <row r="176" spans="1:13" x14ac:dyDescent="0.3">
      <c r="A176" s="2">
        <f>[1]HHS_Unaccompanied_Alien_Childre!G176</f>
        <v>45208</v>
      </c>
      <c r="B176">
        <f>[2]HHS_Unaccompanied_Alien_Childre!B176</f>
        <v>43</v>
      </c>
      <c r="C176">
        <f>[3]HHS_Unaccompanied_Alien_Childre!C176</f>
        <v>73</v>
      </c>
      <c r="D176">
        <f>[2]HHS_Unaccompanied_Alien_Childre!D176</f>
        <v>64</v>
      </c>
      <c r="E176">
        <f>[2]HHS_Unaccompanied_Alien_Childre!E176</f>
        <v>10815</v>
      </c>
      <c r="F176">
        <f>[3]HHS_Unaccompanied_Alien_Childre!F176</f>
        <v>282</v>
      </c>
      <c r="G176">
        <f t="shared" si="15"/>
        <v>-315</v>
      </c>
      <c r="H176" t="str">
        <f t="shared" si="16"/>
        <v>Decrease</v>
      </c>
      <c r="I176">
        <f t="shared" si="14"/>
        <v>-21</v>
      </c>
      <c r="J176">
        <f t="shared" si="17"/>
        <v>10815</v>
      </c>
      <c r="K176">
        <f t="shared" si="18"/>
        <v>11017</v>
      </c>
      <c r="L176">
        <f t="shared" si="19"/>
        <v>10892</v>
      </c>
      <c r="M176">
        <f t="shared" si="20"/>
        <v>11073.5</v>
      </c>
    </row>
    <row r="177" spans="1:13" x14ac:dyDescent="0.3">
      <c r="A177" s="2">
        <f>[1]HHS_Unaccompanied_Alien_Childre!G177</f>
        <v>45209</v>
      </c>
      <c r="B177">
        <f>[2]HHS_Unaccompanied_Alien_Childre!B177</f>
        <v>41</v>
      </c>
      <c r="C177">
        <f>[3]HHS_Unaccompanied_Alien_Childre!C177</f>
        <v>60</v>
      </c>
      <c r="D177">
        <f>[2]HHS_Unaccompanied_Alien_Childre!D177</f>
        <v>71</v>
      </c>
      <c r="E177">
        <f>[2]HHS_Unaccompanied_Alien_Childre!E177</f>
        <v>10910</v>
      </c>
      <c r="F177">
        <f>[3]HHS_Unaccompanied_Alien_Childre!F177</f>
        <v>257</v>
      </c>
      <c r="G177">
        <f t="shared" si="15"/>
        <v>95</v>
      </c>
      <c r="H177" t="str">
        <f t="shared" si="16"/>
        <v>Increase</v>
      </c>
      <c r="I177">
        <f t="shared" si="14"/>
        <v>-30</v>
      </c>
      <c r="J177">
        <f t="shared" si="17"/>
        <v>10910</v>
      </c>
      <c r="K177">
        <f t="shared" si="18"/>
        <v>10984</v>
      </c>
      <c r="L177">
        <f t="shared" si="19"/>
        <v>11095</v>
      </c>
      <c r="M177">
        <f t="shared" si="20"/>
        <v>10899.5</v>
      </c>
    </row>
    <row r="178" spans="1:13" x14ac:dyDescent="0.3">
      <c r="A178" s="2">
        <f>[1]HHS_Unaccompanied_Alien_Childre!G178</f>
        <v>45210</v>
      </c>
      <c r="B178">
        <f>[2]HHS_Unaccompanied_Alien_Childre!B178</f>
        <v>65</v>
      </c>
      <c r="C178">
        <f>[3]HHS_Unaccompanied_Alien_Childre!C178</f>
        <v>83</v>
      </c>
      <c r="D178">
        <f>[2]HHS_Unaccompanied_Alien_Childre!D178</f>
        <v>65</v>
      </c>
      <c r="E178">
        <f>[2]HHS_Unaccompanied_Alien_Childre!E178</f>
        <v>10960</v>
      </c>
      <c r="F178">
        <f>[3]HHS_Unaccompanied_Alien_Childre!F178</f>
        <v>266</v>
      </c>
      <c r="G178">
        <f t="shared" si="15"/>
        <v>50</v>
      </c>
      <c r="H178" t="str">
        <f t="shared" si="16"/>
        <v>Increase</v>
      </c>
      <c r="I178">
        <f t="shared" si="14"/>
        <v>0</v>
      </c>
      <c r="J178">
        <f t="shared" si="17"/>
        <v>10960</v>
      </c>
      <c r="K178">
        <f t="shared" si="18"/>
        <v>10598</v>
      </c>
      <c r="L178">
        <f t="shared" si="19"/>
        <v>11064</v>
      </c>
      <c r="M178">
        <f t="shared" si="20"/>
        <v>10754</v>
      </c>
    </row>
    <row r="179" spans="1:13" x14ac:dyDescent="0.3">
      <c r="A179" s="2">
        <f>[1]HHS_Unaccompanied_Alien_Childre!G179</f>
        <v>45211</v>
      </c>
      <c r="B179">
        <f>[2]HHS_Unaccompanied_Alien_Childre!B179</f>
        <v>38</v>
      </c>
      <c r="C179">
        <f>[3]HHS_Unaccompanied_Alien_Childre!C179</f>
        <v>80</v>
      </c>
      <c r="D179">
        <f>[2]HHS_Unaccompanied_Alien_Childre!D179</f>
        <v>82</v>
      </c>
      <c r="E179">
        <f>[2]HHS_Unaccompanied_Alien_Childre!E179</f>
        <v>10992</v>
      </c>
      <c r="F179">
        <f>[3]HHS_Unaccompanied_Alien_Childre!F179</f>
        <v>398</v>
      </c>
      <c r="G179">
        <f t="shared" si="15"/>
        <v>32</v>
      </c>
      <c r="H179" t="str">
        <f t="shared" si="16"/>
        <v>Increase</v>
      </c>
      <c r="I179">
        <f t="shared" si="14"/>
        <v>-44</v>
      </c>
      <c r="J179">
        <f t="shared" si="17"/>
        <v>10992</v>
      </c>
      <c r="K179">
        <f t="shared" si="18"/>
        <v>10724</v>
      </c>
      <c r="L179">
        <f t="shared" si="19"/>
        <v>11067</v>
      </c>
      <c r="M179">
        <f t="shared" si="20"/>
        <v>10842</v>
      </c>
    </row>
    <row r="180" spans="1:13" x14ac:dyDescent="0.3">
      <c r="A180" s="2">
        <f>[1]HHS_Unaccompanied_Alien_Childre!G180</f>
        <v>45214</v>
      </c>
      <c r="B180">
        <f>[2]HHS_Unaccompanied_Alien_Childre!B180</f>
        <v>56</v>
      </c>
      <c r="C180">
        <f>[3]HHS_Unaccompanied_Alien_Childre!C180</f>
        <v>82</v>
      </c>
      <c r="D180">
        <f>[2]HHS_Unaccompanied_Alien_Childre!D180</f>
        <v>68</v>
      </c>
      <c r="E180">
        <f>[2]HHS_Unaccompanied_Alien_Childre!E180</f>
        <v>10571</v>
      </c>
      <c r="F180">
        <f>[3]HHS_Unaccompanied_Alien_Childre!F180</f>
        <v>434</v>
      </c>
      <c r="G180">
        <f t="shared" si="15"/>
        <v>-421</v>
      </c>
      <c r="H180" t="str">
        <f t="shared" si="16"/>
        <v>Decrease</v>
      </c>
      <c r="I180">
        <f t="shared" si="14"/>
        <v>-12</v>
      </c>
      <c r="J180">
        <f t="shared" si="17"/>
        <v>10571</v>
      </c>
      <c r="K180">
        <f t="shared" si="18"/>
        <v>10818</v>
      </c>
      <c r="L180">
        <f t="shared" si="19"/>
        <v>10744</v>
      </c>
      <c r="M180">
        <f t="shared" si="20"/>
        <v>10905</v>
      </c>
    </row>
    <row r="181" spans="1:13" x14ac:dyDescent="0.3">
      <c r="A181" s="2">
        <f>[1]HHS_Unaccompanied_Alien_Childre!G181</f>
        <v>45215</v>
      </c>
      <c r="B181">
        <f>[2]HHS_Unaccompanied_Alien_Childre!B181</f>
        <v>74</v>
      </c>
      <c r="C181">
        <f>[3]HHS_Unaccompanied_Alien_Childre!C181</f>
        <v>103</v>
      </c>
      <c r="D181">
        <f>[2]HHS_Unaccompanied_Alien_Childre!D181</f>
        <v>80</v>
      </c>
      <c r="E181">
        <f>[2]HHS_Unaccompanied_Alien_Childre!E181</f>
        <v>10629</v>
      </c>
      <c r="F181">
        <f>[3]HHS_Unaccompanied_Alien_Childre!F181</f>
        <v>331</v>
      </c>
      <c r="G181">
        <f t="shared" si="15"/>
        <v>58</v>
      </c>
      <c r="H181" t="str">
        <f t="shared" si="16"/>
        <v>Increase</v>
      </c>
      <c r="I181">
        <f t="shared" si="14"/>
        <v>-6</v>
      </c>
      <c r="J181">
        <f t="shared" si="17"/>
        <v>10629</v>
      </c>
      <c r="K181">
        <f t="shared" si="18"/>
        <v>10963</v>
      </c>
      <c r="L181">
        <f t="shared" si="19"/>
        <v>10842</v>
      </c>
      <c r="M181">
        <f t="shared" si="20"/>
        <v>10767</v>
      </c>
    </row>
    <row r="182" spans="1:13" x14ac:dyDescent="0.3">
      <c r="A182" s="2">
        <f>[1]HHS_Unaccompanied_Alien_Childre!G182</f>
        <v>45216</v>
      </c>
      <c r="B182">
        <f>[2]HHS_Unaccompanied_Alien_Childre!B182</f>
        <v>68</v>
      </c>
      <c r="C182">
        <f>[3]HHS_Unaccompanied_Alien_Childre!C182</f>
        <v>107</v>
      </c>
      <c r="D182">
        <f>[2]HHS_Unaccompanied_Alien_Childre!D182</f>
        <v>102</v>
      </c>
      <c r="E182">
        <f>[2]HHS_Unaccompanied_Alien_Childre!E182</f>
        <v>10630</v>
      </c>
      <c r="F182">
        <f>[3]HHS_Unaccompanied_Alien_Childre!F182</f>
        <v>315</v>
      </c>
      <c r="G182">
        <f t="shared" si="15"/>
        <v>1</v>
      </c>
      <c r="H182" t="str">
        <f t="shared" si="16"/>
        <v>Increase</v>
      </c>
      <c r="I182">
        <f t="shared" si="14"/>
        <v>-34</v>
      </c>
      <c r="J182">
        <f t="shared" si="17"/>
        <v>10630</v>
      </c>
      <c r="K182">
        <f t="shared" si="18"/>
        <v>11130</v>
      </c>
      <c r="L182">
        <f t="shared" si="19"/>
        <v>10978</v>
      </c>
      <c r="M182">
        <f t="shared" si="20"/>
        <v>10879.5</v>
      </c>
    </row>
    <row r="183" spans="1:13" x14ac:dyDescent="0.3">
      <c r="A183" s="2">
        <f>[1]HHS_Unaccompanied_Alien_Childre!G183</f>
        <v>45217</v>
      </c>
      <c r="B183">
        <f>[2]HHS_Unaccompanied_Alien_Childre!B183</f>
        <v>92</v>
      </c>
      <c r="C183">
        <f>[3]HHS_Unaccompanied_Alien_Childre!C183</f>
        <v>124</v>
      </c>
      <c r="D183">
        <f>[2]HHS_Unaccompanied_Alien_Childre!D183</f>
        <v>93</v>
      </c>
      <c r="E183">
        <f>[2]HHS_Unaccompanied_Alien_Childre!E183</f>
        <v>10511</v>
      </c>
      <c r="F183">
        <f>[3]HHS_Unaccompanied_Alien_Childre!F183</f>
        <v>393</v>
      </c>
      <c r="G183">
        <f t="shared" si="15"/>
        <v>-119</v>
      </c>
      <c r="H183" t="str">
        <f t="shared" si="16"/>
        <v>Decrease</v>
      </c>
      <c r="I183">
        <f t="shared" si="14"/>
        <v>-1</v>
      </c>
      <c r="J183">
        <f t="shared" si="17"/>
        <v>10511</v>
      </c>
      <c r="K183">
        <f t="shared" si="18"/>
        <v>10815</v>
      </c>
      <c r="L183">
        <f t="shared" si="19"/>
        <v>11017</v>
      </c>
      <c r="M183">
        <f t="shared" si="20"/>
        <v>10722.5</v>
      </c>
    </row>
    <row r="184" spans="1:13" x14ac:dyDescent="0.3">
      <c r="A184" s="2">
        <f>[1]HHS_Unaccompanied_Alien_Childre!G184</f>
        <v>45218</v>
      </c>
      <c r="B184">
        <f>[2]HHS_Unaccompanied_Alien_Childre!B184</f>
        <v>113</v>
      </c>
      <c r="C184">
        <f>[3]HHS_Unaccompanied_Alien_Childre!C184</f>
        <v>162</v>
      </c>
      <c r="D184">
        <f>[2]HHS_Unaccompanied_Alien_Childre!D184</f>
        <v>107</v>
      </c>
      <c r="E184">
        <f>[2]HHS_Unaccompanied_Alien_Childre!E184</f>
        <v>10319</v>
      </c>
      <c r="F184">
        <f>[3]HHS_Unaccompanied_Alien_Childre!F184</f>
        <v>406</v>
      </c>
      <c r="G184">
        <f t="shared" si="15"/>
        <v>-192</v>
      </c>
      <c r="H184" t="str">
        <f t="shared" si="16"/>
        <v>Decrease</v>
      </c>
      <c r="I184">
        <f t="shared" si="14"/>
        <v>6</v>
      </c>
      <c r="J184">
        <f t="shared" si="17"/>
        <v>10319</v>
      </c>
      <c r="K184">
        <f t="shared" si="18"/>
        <v>10910</v>
      </c>
      <c r="L184">
        <f t="shared" si="19"/>
        <v>10984</v>
      </c>
      <c r="M184">
        <f t="shared" si="20"/>
        <v>10710.5</v>
      </c>
    </row>
    <row r="185" spans="1:13" x14ac:dyDescent="0.3">
      <c r="A185" s="2">
        <f>[1]HHS_Unaccompanied_Alien_Childre!G185</f>
        <v>45221</v>
      </c>
      <c r="B185">
        <f>[2]HHS_Unaccompanied_Alien_Childre!B185</f>
        <v>106</v>
      </c>
      <c r="C185">
        <f>[3]HHS_Unaccompanied_Alien_Childre!C185</f>
        <v>196</v>
      </c>
      <c r="D185">
        <f>[2]HHS_Unaccompanied_Alien_Childre!D185</f>
        <v>131</v>
      </c>
      <c r="E185">
        <f>[2]HHS_Unaccompanied_Alien_Childre!E185</f>
        <v>9506</v>
      </c>
      <c r="F185">
        <f>[3]HHS_Unaccompanied_Alien_Childre!F185</f>
        <v>454</v>
      </c>
      <c r="G185">
        <f t="shared" si="15"/>
        <v>-813</v>
      </c>
      <c r="H185" t="str">
        <f t="shared" si="16"/>
        <v>Decrease</v>
      </c>
      <c r="I185">
        <f t="shared" si="14"/>
        <v>-25</v>
      </c>
      <c r="J185">
        <f t="shared" si="17"/>
        <v>9506</v>
      </c>
      <c r="K185">
        <f t="shared" si="18"/>
        <v>10960</v>
      </c>
      <c r="L185">
        <f t="shared" si="19"/>
        <v>10598</v>
      </c>
      <c r="M185">
        <f t="shared" si="20"/>
        <v>10639.5</v>
      </c>
    </row>
    <row r="186" spans="1:13" x14ac:dyDescent="0.3">
      <c r="A186" s="2">
        <f>[1]HHS_Unaccompanied_Alien_Childre!G186</f>
        <v>45222</v>
      </c>
      <c r="B186">
        <f>[2]HHS_Unaccompanied_Alien_Childre!B186</f>
        <v>86</v>
      </c>
      <c r="C186">
        <f>[3]HHS_Unaccompanied_Alien_Childre!C186</f>
        <v>152</v>
      </c>
      <c r="D186">
        <f>[2]HHS_Unaccompanied_Alien_Childre!D186</f>
        <v>168</v>
      </c>
      <c r="E186">
        <f>[2]HHS_Unaccompanied_Alien_Childre!E186</f>
        <v>9436</v>
      </c>
      <c r="F186">
        <f>[3]HHS_Unaccompanied_Alien_Childre!F186</f>
        <v>327</v>
      </c>
      <c r="G186">
        <f t="shared" si="15"/>
        <v>-70</v>
      </c>
      <c r="H186" t="str">
        <f t="shared" si="16"/>
        <v>Decrease</v>
      </c>
      <c r="I186">
        <f t="shared" si="14"/>
        <v>-82</v>
      </c>
      <c r="J186">
        <f t="shared" si="17"/>
        <v>9436</v>
      </c>
      <c r="K186">
        <f t="shared" si="18"/>
        <v>10992</v>
      </c>
      <c r="L186">
        <f t="shared" si="19"/>
        <v>10724</v>
      </c>
      <c r="M186">
        <f t="shared" si="20"/>
        <v>10249</v>
      </c>
    </row>
    <row r="187" spans="1:13" x14ac:dyDescent="0.3">
      <c r="A187" s="2">
        <f>[1]HHS_Unaccompanied_Alien_Childre!G187</f>
        <v>45223</v>
      </c>
      <c r="B187">
        <f>[2]HHS_Unaccompanied_Alien_Childre!B187</f>
        <v>84</v>
      </c>
      <c r="C187">
        <f>[3]HHS_Unaccompanied_Alien_Childre!C187</f>
        <v>118</v>
      </c>
      <c r="D187">
        <f>[2]HHS_Unaccompanied_Alien_Childre!D187</f>
        <v>136</v>
      </c>
      <c r="E187">
        <f>[2]HHS_Unaccompanied_Alien_Childre!E187</f>
        <v>9396</v>
      </c>
      <c r="F187">
        <f>[3]HHS_Unaccompanied_Alien_Childre!F187</f>
        <v>300</v>
      </c>
      <c r="G187">
        <f t="shared" si="15"/>
        <v>-40</v>
      </c>
      <c r="H187" t="str">
        <f t="shared" si="16"/>
        <v>Decrease</v>
      </c>
      <c r="I187">
        <f t="shared" si="14"/>
        <v>-52</v>
      </c>
      <c r="J187">
        <f t="shared" si="17"/>
        <v>9396</v>
      </c>
      <c r="K187">
        <f t="shared" si="18"/>
        <v>10571</v>
      </c>
      <c r="L187">
        <f t="shared" si="19"/>
        <v>10818</v>
      </c>
      <c r="M187">
        <f t="shared" si="20"/>
        <v>10003.5</v>
      </c>
    </row>
    <row r="188" spans="1:13" x14ac:dyDescent="0.3">
      <c r="A188" s="2">
        <f>[1]HHS_Unaccompanied_Alien_Childre!G188</f>
        <v>45224</v>
      </c>
      <c r="B188">
        <f>[2]HHS_Unaccompanied_Alien_Childre!B188</f>
        <v>59</v>
      </c>
      <c r="C188">
        <f>[3]HHS_Unaccompanied_Alien_Childre!C188</f>
        <v>64</v>
      </c>
      <c r="D188">
        <f>[2]HHS_Unaccompanied_Alien_Childre!D188</f>
        <v>117</v>
      </c>
      <c r="E188">
        <f>[2]HHS_Unaccompanied_Alien_Childre!E188</f>
        <v>9351</v>
      </c>
      <c r="F188">
        <f>[3]HHS_Unaccompanied_Alien_Childre!F188</f>
        <v>293</v>
      </c>
      <c r="G188">
        <f t="shared" si="15"/>
        <v>-45</v>
      </c>
      <c r="H188" t="str">
        <f t="shared" si="16"/>
        <v>Decrease</v>
      </c>
      <c r="I188">
        <f t="shared" si="14"/>
        <v>-58</v>
      </c>
      <c r="J188">
        <f t="shared" si="17"/>
        <v>9351</v>
      </c>
      <c r="K188">
        <f t="shared" si="18"/>
        <v>10629</v>
      </c>
      <c r="L188">
        <f t="shared" si="19"/>
        <v>10963</v>
      </c>
      <c r="M188">
        <f t="shared" si="20"/>
        <v>10012.5</v>
      </c>
    </row>
    <row r="189" spans="1:13" x14ac:dyDescent="0.3">
      <c r="A189" s="2">
        <f>[1]HHS_Unaccompanied_Alien_Childre!G189</f>
        <v>45225</v>
      </c>
      <c r="B189">
        <f>[2]HHS_Unaccompanied_Alien_Childre!B189</f>
        <v>62</v>
      </c>
      <c r="C189">
        <f>[3]HHS_Unaccompanied_Alien_Childre!C189</f>
        <v>97</v>
      </c>
      <c r="D189">
        <f>[2]HHS_Unaccompanied_Alien_Childre!D189</f>
        <v>52</v>
      </c>
      <c r="E189">
        <f>[2]HHS_Unaccompanied_Alien_Childre!E189</f>
        <v>9235</v>
      </c>
      <c r="F189">
        <f>[3]HHS_Unaccompanied_Alien_Childre!F189</f>
        <v>390</v>
      </c>
      <c r="G189">
        <f t="shared" si="15"/>
        <v>-116</v>
      </c>
      <c r="H189" t="str">
        <f t="shared" si="16"/>
        <v>Decrease</v>
      </c>
      <c r="I189">
        <f t="shared" si="14"/>
        <v>10</v>
      </c>
      <c r="J189">
        <f t="shared" si="17"/>
        <v>9235</v>
      </c>
      <c r="K189">
        <f t="shared" si="18"/>
        <v>10630</v>
      </c>
      <c r="L189">
        <f t="shared" si="19"/>
        <v>11130</v>
      </c>
      <c r="M189">
        <f t="shared" si="20"/>
        <v>9990.5</v>
      </c>
    </row>
    <row r="190" spans="1:13" x14ac:dyDescent="0.3">
      <c r="A190" s="2">
        <f>[1]HHS_Unaccompanied_Alien_Childre!G190</f>
        <v>45228</v>
      </c>
      <c r="B190">
        <f>[2]HHS_Unaccompanied_Alien_Childre!B190</f>
        <v>91</v>
      </c>
      <c r="C190">
        <f>[3]HHS_Unaccompanied_Alien_Childre!C190</f>
        <v>75</v>
      </c>
      <c r="D190">
        <f>[2]HHS_Unaccompanied_Alien_Childre!D190</f>
        <v>97</v>
      </c>
      <c r="E190">
        <f>[2]HHS_Unaccompanied_Alien_Childre!E190</f>
        <v>8925</v>
      </c>
      <c r="F190">
        <f>[3]HHS_Unaccompanied_Alien_Childre!F190</f>
        <v>418</v>
      </c>
      <c r="G190">
        <f t="shared" si="15"/>
        <v>-310</v>
      </c>
      <c r="H190" t="str">
        <f t="shared" si="16"/>
        <v>Decrease</v>
      </c>
      <c r="I190">
        <f t="shared" si="14"/>
        <v>-6</v>
      </c>
      <c r="J190">
        <f t="shared" si="17"/>
        <v>8925</v>
      </c>
      <c r="K190">
        <f t="shared" si="18"/>
        <v>10511</v>
      </c>
      <c r="L190">
        <f t="shared" si="19"/>
        <v>10815</v>
      </c>
      <c r="M190">
        <f t="shared" si="20"/>
        <v>9873</v>
      </c>
    </row>
    <row r="191" spans="1:13" x14ac:dyDescent="0.3">
      <c r="A191" s="2">
        <f>[1]HHS_Unaccompanied_Alien_Childre!G191</f>
        <v>45229</v>
      </c>
      <c r="B191">
        <f>[2]HHS_Unaccompanied_Alien_Childre!B191</f>
        <v>29</v>
      </c>
      <c r="C191">
        <f>[3]HHS_Unaccompanied_Alien_Childre!C191</f>
        <v>51</v>
      </c>
      <c r="D191">
        <f>[2]HHS_Unaccompanied_Alien_Childre!D191</f>
        <v>11</v>
      </c>
      <c r="E191">
        <f>[2]HHS_Unaccompanied_Alien_Childre!E191</f>
        <v>9026</v>
      </c>
      <c r="F191">
        <f>[3]HHS_Unaccompanied_Alien_Childre!F191</f>
        <v>278</v>
      </c>
      <c r="G191">
        <f t="shared" si="15"/>
        <v>101</v>
      </c>
      <c r="H191" t="str">
        <f t="shared" si="16"/>
        <v>Increase</v>
      </c>
      <c r="I191">
        <f t="shared" si="14"/>
        <v>18</v>
      </c>
      <c r="J191">
        <f t="shared" si="17"/>
        <v>9026</v>
      </c>
      <c r="K191">
        <f t="shared" si="18"/>
        <v>10319</v>
      </c>
      <c r="L191">
        <f t="shared" si="19"/>
        <v>10910</v>
      </c>
      <c r="M191">
        <f t="shared" si="20"/>
        <v>9622</v>
      </c>
    </row>
    <row r="192" spans="1:13" x14ac:dyDescent="0.3">
      <c r="A192" s="2">
        <f>[1]HHS_Unaccompanied_Alien_Childre!G192</f>
        <v>45230</v>
      </c>
      <c r="B192">
        <f>[2]HHS_Unaccompanied_Alien_Childre!B192</f>
        <v>33</v>
      </c>
      <c r="C192">
        <f>[3]HHS_Unaccompanied_Alien_Childre!C192</f>
        <v>53</v>
      </c>
      <c r="D192">
        <f>[2]HHS_Unaccompanied_Alien_Childre!D192</f>
        <v>34</v>
      </c>
      <c r="E192">
        <f>[2]HHS_Unaccompanied_Alien_Childre!E192</f>
        <v>9072</v>
      </c>
      <c r="F192">
        <f>[3]HHS_Unaccompanied_Alien_Childre!F192</f>
        <v>295</v>
      </c>
      <c r="G192">
        <f t="shared" si="15"/>
        <v>46</v>
      </c>
      <c r="H192" t="str">
        <f t="shared" si="16"/>
        <v>Increase</v>
      </c>
      <c r="I192">
        <f t="shared" si="14"/>
        <v>-1</v>
      </c>
      <c r="J192">
        <f t="shared" si="17"/>
        <v>9072</v>
      </c>
      <c r="K192">
        <f t="shared" si="18"/>
        <v>9506</v>
      </c>
      <c r="L192">
        <f t="shared" si="19"/>
        <v>10960</v>
      </c>
      <c r="M192">
        <f t="shared" si="20"/>
        <v>9266</v>
      </c>
    </row>
    <row r="193" spans="1:13" x14ac:dyDescent="0.3">
      <c r="A193" s="2">
        <f>[1]HHS_Unaccompanied_Alien_Childre!G193</f>
        <v>45231</v>
      </c>
      <c r="B193">
        <f>[2]HHS_Unaccompanied_Alien_Childre!B193</f>
        <v>132</v>
      </c>
      <c r="C193">
        <f>[3]HHS_Unaccompanied_Alien_Childre!C193</f>
        <v>235</v>
      </c>
      <c r="D193">
        <f>[2]HHS_Unaccompanied_Alien_Childre!D193</f>
        <v>197</v>
      </c>
      <c r="E193">
        <f>[2]HHS_Unaccompanied_Alien_Childre!E193</f>
        <v>9250</v>
      </c>
      <c r="F193">
        <f>[3]HHS_Unaccompanied_Alien_Childre!F193</f>
        <v>279</v>
      </c>
      <c r="G193">
        <f t="shared" si="15"/>
        <v>178</v>
      </c>
      <c r="H193" t="str">
        <f t="shared" si="16"/>
        <v>Increase</v>
      </c>
      <c r="I193">
        <f t="shared" si="14"/>
        <v>-65</v>
      </c>
      <c r="J193">
        <f t="shared" si="17"/>
        <v>9250</v>
      </c>
      <c r="K193">
        <f t="shared" si="18"/>
        <v>9436</v>
      </c>
      <c r="L193">
        <f t="shared" si="19"/>
        <v>10992</v>
      </c>
      <c r="M193">
        <f t="shared" si="20"/>
        <v>9254</v>
      </c>
    </row>
    <row r="194" spans="1:13" x14ac:dyDescent="0.3">
      <c r="A194" s="2">
        <f>[1]HHS_Unaccompanied_Alien_Childre!G194</f>
        <v>45232</v>
      </c>
      <c r="B194">
        <f>[2]HHS_Unaccompanied_Alien_Childre!B194</f>
        <v>174</v>
      </c>
      <c r="C194">
        <f>[3]HHS_Unaccompanied_Alien_Childre!C194</f>
        <v>208</v>
      </c>
      <c r="D194">
        <f>[2]HHS_Unaccompanied_Alien_Childre!D194</f>
        <v>256</v>
      </c>
      <c r="E194">
        <f>[2]HHS_Unaccompanied_Alien_Childre!E194</f>
        <v>9442</v>
      </c>
      <c r="F194">
        <f>[3]HHS_Unaccompanied_Alien_Childre!F194</f>
        <v>330</v>
      </c>
      <c r="G194">
        <f t="shared" si="15"/>
        <v>192</v>
      </c>
      <c r="H194" t="str">
        <f t="shared" si="16"/>
        <v>Increase</v>
      </c>
      <c r="I194">
        <f t="shared" si="14"/>
        <v>-82</v>
      </c>
      <c r="J194">
        <f t="shared" si="17"/>
        <v>9442</v>
      </c>
      <c r="K194">
        <f t="shared" si="18"/>
        <v>9396</v>
      </c>
      <c r="L194">
        <f t="shared" si="19"/>
        <v>10571</v>
      </c>
      <c r="M194">
        <f t="shared" si="20"/>
        <v>9323</v>
      </c>
    </row>
    <row r="195" spans="1:13" x14ac:dyDescent="0.3">
      <c r="A195" s="2">
        <f>[1]HHS_Unaccompanied_Alien_Childre!G195</f>
        <v>45235</v>
      </c>
      <c r="B195">
        <f>[2]HHS_Unaccompanied_Alien_Childre!B195</f>
        <v>123</v>
      </c>
      <c r="C195">
        <f>[3]HHS_Unaccompanied_Alien_Childre!C195</f>
        <v>230</v>
      </c>
      <c r="D195">
        <f>[2]HHS_Unaccompanied_Alien_Childre!D195</f>
        <v>167</v>
      </c>
      <c r="E195">
        <f>[2]HHS_Unaccompanied_Alien_Childre!E195</f>
        <v>9273</v>
      </c>
      <c r="F195">
        <f>[3]HHS_Unaccompanied_Alien_Childre!F195</f>
        <v>370</v>
      </c>
      <c r="G195">
        <f t="shared" si="15"/>
        <v>-169</v>
      </c>
      <c r="H195" t="str">
        <f t="shared" si="16"/>
        <v>Decrease</v>
      </c>
      <c r="I195">
        <f t="shared" ref="I195:I258" si="21">B195-D195</f>
        <v>-44</v>
      </c>
      <c r="J195">
        <f t="shared" si="17"/>
        <v>9273</v>
      </c>
      <c r="K195">
        <f t="shared" si="18"/>
        <v>9351</v>
      </c>
      <c r="L195">
        <f t="shared" si="19"/>
        <v>10629</v>
      </c>
      <c r="M195">
        <f t="shared" si="20"/>
        <v>9396.5</v>
      </c>
    </row>
    <row r="196" spans="1:13" x14ac:dyDescent="0.3">
      <c r="A196" s="2">
        <f>[1]HHS_Unaccompanied_Alien_Childre!G196</f>
        <v>45236</v>
      </c>
      <c r="B196">
        <f>[2]HHS_Unaccompanied_Alien_Childre!B196</f>
        <v>123</v>
      </c>
      <c r="C196">
        <f>[3]HHS_Unaccompanied_Alien_Childre!C196</f>
        <v>233</v>
      </c>
      <c r="D196">
        <f>[2]HHS_Unaccompanied_Alien_Childre!D196</f>
        <v>159</v>
      </c>
      <c r="E196">
        <f>[2]HHS_Unaccompanied_Alien_Childre!E196</f>
        <v>9286</v>
      </c>
      <c r="F196">
        <f>[3]HHS_Unaccompanied_Alien_Childre!F196</f>
        <v>316</v>
      </c>
      <c r="G196">
        <f t="shared" ref="G196:G259" si="22">E196-E195</f>
        <v>13</v>
      </c>
      <c r="H196" t="str">
        <f t="shared" ref="H196:H259" si="23">IF(G196&gt;0,"Increase",IF(G196&lt;0,"Decrease","No Change"))</f>
        <v>Increase</v>
      </c>
      <c r="I196">
        <f t="shared" si="21"/>
        <v>-36</v>
      </c>
      <c r="J196">
        <f t="shared" si="17"/>
        <v>9286</v>
      </c>
      <c r="K196">
        <f t="shared" si="18"/>
        <v>9235</v>
      </c>
      <c r="L196">
        <f t="shared" si="19"/>
        <v>10630</v>
      </c>
      <c r="M196">
        <f t="shared" si="20"/>
        <v>9254</v>
      </c>
    </row>
    <row r="197" spans="1:13" x14ac:dyDescent="0.3">
      <c r="A197" s="2">
        <f>[1]HHS_Unaccompanied_Alien_Childre!G197</f>
        <v>45237</v>
      </c>
      <c r="B197">
        <f>[2]HHS_Unaccompanied_Alien_Childre!B197</f>
        <v>141</v>
      </c>
      <c r="C197">
        <f>[3]HHS_Unaccompanied_Alien_Childre!C197</f>
        <v>232</v>
      </c>
      <c r="D197">
        <f>[2]HHS_Unaccompanied_Alien_Childre!D197</f>
        <v>188</v>
      </c>
      <c r="E197">
        <f>[2]HHS_Unaccompanied_Alien_Childre!E197</f>
        <v>9483</v>
      </c>
      <c r="F197">
        <f>[3]HHS_Unaccompanied_Alien_Childre!F197</f>
        <v>231</v>
      </c>
      <c r="G197">
        <f t="shared" si="22"/>
        <v>197</v>
      </c>
      <c r="H197" t="str">
        <f t="shared" si="23"/>
        <v>Increase</v>
      </c>
      <c r="I197">
        <f t="shared" si="21"/>
        <v>-47</v>
      </c>
      <c r="J197">
        <f t="shared" si="17"/>
        <v>9483</v>
      </c>
      <c r="K197">
        <f t="shared" si="18"/>
        <v>8925</v>
      </c>
      <c r="L197">
        <f t="shared" si="19"/>
        <v>10511</v>
      </c>
      <c r="M197">
        <f t="shared" si="20"/>
        <v>9105.5</v>
      </c>
    </row>
    <row r="198" spans="1:13" x14ac:dyDescent="0.3">
      <c r="A198" s="2">
        <f>[1]HHS_Unaccompanied_Alien_Childre!G198</f>
        <v>45238</v>
      </c>
      <c r="B198">
        <f>[2]HHS_Unaccompanied_Alien_Childre!B198</f>
        <v>158</v>
      </c>
      <c r="C198">
        <f>[3]HHS_Unaccompanied_Alien_Childre!C198</f>
        <v>226</v>
      </c>
      <c r="D198">
        <f>[2]HHS_Unaccompanied_Alien_Childre!D198</f>
        <v>191</v>
      </c>
      <c r="E198">
        <f>[2]HHS_Unaccompanied_Alien_Childre!E198</f>
        <v>9634</v>
      </c>
      <c r="F198">
        <f>[3]HHS_Unaccompanied_Alien_Childre!F198</f>
        <v>310</v>
      </c>
      <c r="G198">
        <f t="shared" si="22"/>
        <v>151</v>
      </c>
      <c r="H198" t="str">
        <f t="shared" si="23"/>
        <v>Increase</v>
      </c>
      <c r="I198">
        <f t="shared" si="21"/>
        <v>-33</v>
      </c>
      <c r="J198">
        <f t="shared" si="17"/>
        <v>9634</v>
      </c>
      <c r="K198">
        <f t="shared" si="18"/>
        <v>9026</v>
      </c>
      <c r="L198">
        <f t="shared" si="19"/>
        <v>10319</v>
      </c>
      <c r="M198">
        <f t="shared" si="20"/>
        <v>9254.5</v>
      </c>
    </row>
    <row r="199" spans="1:13" x14ac:dyDescent="0.3">
      <c r="A199" s="2">
        <f>[1]HHS_Unaccompanied_Alien_Childre!G199</f>
        <v>45242</v>
      </c>
      <c r="B199">
        <f>[2]HHS_Unaccompanied_Alien_Childre!B199</f>
        <v>96</v>
      </c>
      <c r="C199">
        <f>[3]HHS_Unaccompanied_Alien_Childre!C199</f>
        <v>160</v>
      </c>
      <c r="D199">
        <f>[2]HHS_Unaccompanied_Alien_Childre!D199</f>
        <v>233</v>
      </c>
      <c r="E199">
        <f>[2]HHS_Unaccompanied_Alien_Childre!E199</f>
        <v>9477</v>
      </c>
      <c r="F199">
        <f>[3]HHS_Unaccompanied_Alien_Childre!F199</f>
        <v>313</v>
      </c>
      <c r="G199">
        <f t="shared" si="22"/>
        <v>-157</v>
      </c>
      <c r="H199" t="str">
        <f t="shared" si="23"/>
        <v>Decrease</v>
      </c>
      <c r="I199">
        <f t="shared" si="21"/>
        <v>-137</v>
      </c>
      <c r="J199">
        <f t="shared" si="17"/>
        <v>9477</v>
      </c>
      <c r="K199">
        <f t="shared" si="18"/>
        <v>9072</v>
      </c>
      <c r="L199">
        <f t="shared" si="19"/>
        <v>9506</v>
      </c>
      <c r="M199">
        <f t="shared" si="20"/>
        <v>9353</v>
      </c>
    </row>
    <row r="200" spans="1:13" x14ac:dyDescent="0.3">
      <c r="A200" s="2">
        <f>[1]HHS_Unaccompanied_Alien_Childre!G200</f>
        <v>45243</v>
      </c>
      <c r="B200">
        <f>[2]HHS_Unaccompanied_Alien_Childre!B200</f>
        <v>141</v>
      </c>
      <c r="C200">
        <f>[3]HHS_Unaccompanied_Alien_Childre!C200</f>
        <v>173</v>
      </c>
      <c r="D200">
        <f>[2]HHS_Unaccompanied_Alien_Childre!D200</f>
        <v>129</v>
      </c>
      <c r="E200">
        <f>[2]HHS_Unaccompanied_Alien_Childre!E200</f>
        <v>9510</v>
      </c>
      <c r="F200">
        <f>[3]HHS_Unaccompanied_Alien_Childre!F200</f>
        <v>287</v>
      </c>
      <c r="G200">
        <f t="shared" si="22"/>
        <v>33</v>
      </c>
      <c r="H200" t="str">
        <f t="shared" si="23"/>
        <v>Increase</v>
      </c>
      <c r="I200">
        <f t="shared" si="21"/>
        <v>12</v>
      </c>
      <c r="J200">
        <f t="shared" si="17"/>
        <v>9510</v>
      </c>
      <c r="K200">
        <f t="shared" si="18"/>
        <v>9250</v>
      </c>
      <c r="L200">
        <f t="shared" si="19"/>
        <v>9436</v>
      </c>
      <c r="M200">
        <f t="shared" si="20"/>
        <v>9363.5</v>
      </c>
    </row>
    <row r="201" spans="1:13" x14ac:dyDescent="0.3">
      <c r="A201" s="2">
        <f>[1]HHS_Unaccompanied_Alien_Childre!G201</f>
        <v>45244</v>
      </c>
      <c r="B201">
        <f>[2]HHS_Unaccompanied_Alien_Childre!B201</f>
        <v>116</v>
      </c>
      <c r="C201">
        <f>[3]HHS_Unaccompanied_Alien_Childre!C201</f>
        <v>181</v>
      </c>
      <c r="D201">
        <f>[2]HHS_Unaccompanied_Alien_Childre!D201</f>
        <v>182</v>
      </c>
      <c r="E201">
        <f>[2]HHS_Unaccompanied_Alien_Childre!E201</f>
        <v>9665</v>
      </c>
      <c r="F201">
        <f>[3]HHS_Unaccompanied_Alien_Childre!F201</f>
        <v>247</v>
      </c>
      <c r="G201">
        <f t="shared" si="22"/>
        <v>155</v>
      </c>
      <c r="H201" t="str">
        <f t="shared" si="23"/>
        <v>Increase</v>
      </c>
      <c r="I201">
        <f t="shared" si="21"/>
        <v>-66</v>
      </c>
      <c r="J201">
        <f t="shared" si="17"/>
        <v>9665</v>
      </c>
      <c r="K201">
        <f t="shared" si="18"/>
        <v>9442</v>
      </c>
      <c r="L201">
        <f t="shared" si="19"/>
        <v>9396</v>
      </c>
      <c r="M201">
        <f t="shared" si="20"/>
        <v>9476</v>
      </c>
    </row>
    <row r="202" spans="1:13" x14ac:dyDescent="0.3">
      <c r="A202" s="2">
        <f>[1]HHS_Unaccompanied_Alien_Childre!G202</f>
        <v>45245</v>
      </c>
      <c r="B202">
        <f>[2]HHS_Unaccompanied_Alien_Childre!B202</f>
        <v>150</v>
      </c>
      <c r="C202">
        <f>[3]HHS_Unaccompanied_Alien_Childre!C202</f>
        <v>157</v>
      </c>
      <c r="D202">
        <f>[2]HHS_Unaccompanied_Alien_Childre!D202</f>
        <v>201</v>
      </c>
      <c r="E202">
        <f>[2]HHS_Unaccompanied_Alien_Childre!E202</f>
        <v>9762</v>
      </c>
      <c r="F202">
        <f>[3]HHS_Unaccompanied_Alien_Childre!F202</f>
        <v>316</v>
      </c>
      <c r="G202">
        <f t="shared" si="22"/>
        <v>97</v>
      </c>
      <c r="H202" t="str">
        <f t="shared" si="23"/>
        <v>Increase</v>
      </c>
      <c r="I202">
        <f t="shared" si="21"/>
        <v>-51</v>
      </c>
      <c r="J202">
        <f t="shared" si="17"/>
        <v>9762</v>
      </c>
      <c r="K202">
        <f t="shared" si="18"/>
        <v>9273</v>
      </c>
      <c r="L202">
        <f t="shared" si="19"/>
        <v>9351</v>
      </c>
      <c r="M202">
        <f t="shared" si="20"/>
        <v>9469</v>
      </c>
    </row>
    <row r="203" spans="1:13" x14ac:dyDescent="0.3">
      <c r="A203" s="2">
        <f>[1]HHS_Unaccompanied_Alien_Childre!G203</f>
        <v>45246</v>
      </c>
      <c r="B203">
        <f>[2]HHS_Unaccompanied_Alien_Childre!B203</f>
        <v>80</v>
      </c>
      <c r="C203">
        <f>[3]HHS_Unaccompanied_Alien_Childre!C203</f>
        <v>176</v>
      </c>
      <c r="D203">
        <f>[2]HHS_Unaccompanied_Alien_Childre!D203</f>
        <v>125</v>
      </c>
      <c r="E203">
        <f>[2]HHS_Unaccompanied_Alien_Childre!E203</f>
        <v>9762</v>
      </c>
      <c r="F203">
        <f>[3]HHS_Unaccompanied_Alien_Childre!F203</f>
        <v>374</v>
      </c>
      <c r="G203">
        <f t="shared" si="22"/>
        <v>0</v>
      </c>
      <c r="H203" t="str">
        <f t="shared" si="23"/>
        <v>No Change</v>
      </c>
      <c r="I203">
        <f t="shared" si="21"/>
        <v>-45</v>
      </c>
      <c r="J203">
        <f t="shared" si="17"/>
        <v>9762</v>
      </c>
      <c r="K203">
        <f t="shared" si="18"/>
        <v>9286</v>
      </c>
      <c r="L203">
        <f t="shared" si="19"/>
        <v>9235</v>
      </c>
      <c r="M203">
        <f t="shared" si="20"/>
        <v>9524</v>
      </c>
    </row>
    <row r="204" spans="1:13" x14ac:dyDescent="0.3">
      <c r="A204" s="2">
        <f>[1]HHS_Unaccompanied_Alien_Childre!G204</f>
        <v>45249</v>
      </c>
      <c r="B204">
        <f>[2]HHS_Unaccompanied_Alien_Childre!B204</f>
        <v>116</v>
      </c>
      <c r="C204">
        <f>[3]HHS_Unaccompanied_Alien_Childre!C204</f>
        <v>188</v>
      </c>
      <c r="D204">
        <f>[2]HHS_Unaccompanied_Alien_Childre!D204</f>
        <v>164</v>
      </c>
      <c r="E204">
        <f>[2]HHS_Unaccompanied_Alien_Childre!E204</f>
        <v>9573</v>
      </c>
      <c r="F204">
        <f>[3]HHS_Unaccompanied_Alien_Childre!F204</f>
        <v>435</v>
      </c>
      <c r="G204">
        <f t="shared" si="22"/>
        <v>-189</v>
      </c>
      <c r="H204" t="str">
        <f t="shared" si="23"/>
        <v>Decrease</v>
      </c>
      <c r="I204">
        <f t="shared" si="21"/>
        <v>-48</v>
      </c>
      <c r="J204">
        <f t="shared" si="17"/>
        <v>9573</v>
      </c>
      <c r="K204">
        <f t="shared" si="18"/>
        <v>9483</v>
      </c>
      <c r="L204">
        <f t="shared" si="19"/>
        <v>8925</v>
      </c>
      <c r="M204">
        <f t="shared" si="20"/>
        <v>9622.5</v>
      </c>
    </row>
    <row r="205" spans="1:13" x14ac:dyDescent="0.3">
      <c r="A205" s="2">
        <f>[1]HHS_Unaccompanied_Alien_Childre!G205</f>
        <v>45250</v>
      </c>
      <c r="B205">
        <f>[2]HHS_Unaccompanied_Alien_Childre!B205</f>
        <v>105</v>
      </c>
      <c r="C205">
        <f>[3]HHS_Unaccompanied_Alien_Childre!C205</f>
        <v>185</v>
      </c>
      <c r="D205">
        <f>[2]HHS_Unaccompanied_Alien_Childre!D205</f>
        <v>158</v>
      </c>
      <c r="E205">
        <f>[2]HHS_Unaccompanied_Alien_Childre!E205</f>
        <v>9638</v>
      </c>
      <c r="F205">
        <f>[3]HHS_Unaccompanied_Alien_Childre!F205</f>
        <v>298</v>
      </c>
      <c r="G205">
        <f t="shared" si="22"/>
        <v>65</v>
      </c>
      <c r="H205" t="str">
        <f t="shared" si="23"/>
        <v>Increase</v>
      </c>
      <c r="I205">
        <f t="shared" si="21"/>
        <v>-53</v>
      </c>
      <c r="J205">
        <f t="shared" si="17"/>
        <v>9638</v>
      </c>
      <c r="K205">
        <f t="shared" si="18"/>
        <v>9634</v>
      </c>
      <c r="L205">
        <f t="shared" si="19"/>
        <v>9026</v>
      </c>
      <c r="M205">
        <f t="shared" si="20"/>
        <v>9603.5</v>
      </c>
    </row>
    <row r="206" spans="1:13" x14ac:dyDescent="0.3">
      <c r="A206" s="2">
        <f>[1]HHS_Unaccompanied_Alien_Childre!G206</f>
        <v>45251</v>
      </c>
      <c r="B206">
        <f>[2]HHS_Unaccompanied_Alien_Childre!B206</f>
        <v>136</v>
      </c>
      <c r="C206">
        <f>[3]HHS_Unaccompanied_Alien_Childre!C206</f>
        <v>246</v>
      </c>
      <c r="D206">
        <f>[2]HHS_Unaccompanied_Alien_Childre!D206</f>
        <v>123</v>
      </c>
      <c r="E206">
        <f>[2]HHS_Unaccompanied_Alien_Childre!E206</f>
        <v>9804</v>
      </c>
      <c r="F206">
        <f>[3]HHS_Unaccompanied_Alien_Childre!F206</f>
        <v>250</v>
      </c>
      <c r="G206">
        <f t="shared" si="22"/>
        <v>166</v>
      </c>
      <c r="H206" t="str">
        <f t="shared" si="23"/>
        <v>Increase</v>
      </c>
      <c r="I206">
        <f t="shared" si="21"/>
        <v>13</v>
      </c>
      <c r="J206">
        <f t="shared" si="17"/>
        <v>9804</v>
      </c>
      <c r="K206">
        <f t="shared" si="18"/>
        <v>9477</v>
      </c>
      <c r="L206">
        <f t="shared" si="19"/>
        <v>9072</v>
      </c>
      <c r="M206">
        <f t="shared" si="20"/>
        <v>9557.5</v>
      </c>
    </row>
    <row r="207" spans="1:13" x14ac:dyDescent="0.3">
      <c r="A207" s="2">
        <f>[1]HHS_Unaccompanied_Alien_Childre!G207</f>
        <v>45253</v>
      </c>
      <c r="B207">
        <f>[2]HHS_Unaccompanied_Alien_Childre!B207</f>
        <v>128</v>
      </c>
      <c r="C207">
        <f>[3]HHS_Unaccompanied_Alien_Childre!C207</f>
        <v>228</v>
      </c>
      <c r="D207">
        <f>[2]HHS_Unaccompanied_Alien_Childre!D207</f>
        <v>177</v>
      </c>
      <c r="E207">
        <f>[2]HHS_Unaccompanied_Alien_Childre!E207</f>
        <v>9838</v>
      </c>
      <c r="F207">
        <f>[3]HHS_Unaccompanied_Alien_Childre!F207</f>
        <v>283</v>
      </c>
      <c r="G207">
        <f t="shared" si="22"/>
        <v>34</v>
      </c>
      <c r="H207" t="str">
        <f t="shared" si="23"/>
        <v>Increase</v>
      </c>
      <c r="I207">
        <f t="shared" si="21"/>
        <v>-49</v>
      </c>
      <c r="J207">
        <f t="shared" si="17"/>
        <v>9838</v>
      </c>
      <c r="K207">
        <f t="shared" si="18"/>
        <v>9510</v>
      </c>
      <c r="L207">
        <f t="shared" si="19"/>
        <v>9250</v>
      </c>
      <c r="M207">
        <f t="shared" si="20"/>
        <v>9657</v>
      </c>
    </row>
    <row r="208" spans="1:13" x14ac:dyDescent="0.3">
      <c r="A208" s="2">
        <f>[1]HHS_Unaccompanied_Alien_Childre!G208</f>
        <v>45256</v>
      </c>
      <c r="B208">
        <f>[2]HHS_Unaccompanied_Alien_Childre!B208</f>
        <v>90</v>
      </c>
      <c r="C208">
        <f>[3]HHS_Unaccompanied_Alien_Childre!C208</f>
        <v>196</v>
      </c>
      <c r="D208">
        <f>[2]HHS_Unaccompanied_Alien_Childre!D208</f>
        <v>205</v>
      </c>
      <c r="E208">
        <f>[2]HHS_Unaccompanied_Alien_Childre!E208</f>
        <v>9845</v>
      </c>
      <c r="F208">
        <f>[3]HHS_Unaccompanied_Alien_Childre!F208</f>
        <v>312</v>
      </c>
      <c r="G208">
        <f t="shared" si="22"/>
        <v>7</v>
      </c>
      <c r="H208" t="str">
        <f t="shared" si="23"/>
        <v>Increase</v>
      </c>
      <c r="I208">
        <f t="shared" si="21"/>
        <v>-115</v>
      </c>
      <c r="J208">
        <f t="shared" si="17"/>
        <v>9845</v>
      </c>
      <c r="K208">
        <f t="shared" si="18"/>
        <v>9665</v>
      </c>
      <c r="L208">
        <f t="shared" si="19"/>
        <v>9442</v>
      </c>
      <c r="M208">
        <f t="shared" si="20"/>
        <v>9751.5</v>
      </c>
    </row>
    <row r="209" spans="1:13" x14ac:dyDescent="0.3">
      <c r="A209" s="2">
        <f>[1]HHS_Unaccompanied_Alien_Childre!G209</f>
        <v>45257</v>
      </c>
      <c r="B209">
        <f>[2]HHS_Unaccompanied_Alien_Childre!B209</f>
        <v>56</v>
      </c>
      <c r="C209">
        <f>[3]HHS_Unaccompanied_Alien_Childre!C209</f>
        <v>82</v>
      </c>
      <c r="D209">
        <f>[2]HHS_Unaccompanied_Alien_Childre!D209</f>
        <v>68</v>
      </c>
      <c r="E209">
        <f>[2]HHS_Unaccompanied_Alien_Childre!E209</f>
        <v>10123</v>
      </c>
      <c r="F209">
        <f>[3]HHS_Unaccompanied_Alien_Childre!F209</f>
        <v>214</v>
      </c>
      <c r="G209">
        <f t="shared" si="22"/>
        <v>278</v>
      </c>
      <c r="H209" t="str">
        <f t="shared" si="23"/>
        <v>Increase</v>
      </c>
      <c r="I209">
        <f t="shared" si="21"/>
        <v>-12</v>
      </c>
      <c r="J209">
        <f t="shared" ref="J209:J272" si="24">E209</f>
        <v>10123</v>
      </c>
      <c r="K209">
        <f t="shared" ref="K209:K272" si="25">E202</f>
        <v>9762</v>
      </c>
      <c r="L209">
        <f t="shared" ref="L209:L272" si="26">E195</f>
        <v>9273</v>
      </c>
      <c r="M209">
        <f t="shared" ref="M209:M272" si="27">AVERAGE(E202,E208)</f>
        <v>9803.5</v>
      </c>
    </row>
    <row r="210" spans="1:13" x14ac:dyDescent="0.3">
      <c r="A210" s="2">
        <f>[1]HHS_Unaccompanied_Alien_Childre!G210</f>
        <v>45258</v>
      </c>
      <c r="B210">
        <f>[2]HHS_Unaccompanied_Alien_Childre!B210</f>
        <v>74</v>
      </c>
      <c r="C210">
        <f>[3]HHS_Unaccompanied_Alien_Childre!C210</f>
        <v>103</v>
      </c>
      <c r="D210">
        <f>[2]HHS_Unaccompanied_Alien_Childre!D210</f>
        <v>80</v>
      </c>
      <c r="E210">
        <f>[2]HHS_Unaccompanied_Alien_Childre!E210</f>
        <v>10223</v>
      </c>
      <c r="F210">
        <f>[3]HHS_Unaccompanied_Alien_Childre!F210</f>
        <v>223</v>
      </c>
      <c r="G210">
        <f t="shared" si="22"/>
        <v>100</v>
      </c>
      <c r="H210" t="str">
        <f t="shared" si="23"/>
        <v>Increase</v>
      </c>
      <c r="I210">
        <f t="shared" si="21"/>
        <v>-6</v>
      </c>
      <c r="J210">
        <f t="shared" si="24"/>
        <v>10223</v>
      </c>
      <c r="K210">
        <f t="shared" si="25"/>
        <v>9762</v>
      </c>
      <c r="L210">
        <f t="shared" si="26"/>
        <v>9286</v>
      </c>
      <c r="M210">
        <f t="shared" si="27"/>
        <v>9942.5</v>
      </c>
    </row>
    <row r="211" spans="1:13" x14ac:dyDescent="0.3">
      <c r="A211" s="2">
        <f>[1]HHS_Unaccompanied_Alien_Childre!G211</f>
        <v>45259</v>
      </c>
      <c r="B211">
        <f>[2]HHS_Unaccompanied_Alien_Childre!B211</f>
        <v>68</v>
      </c>
      <c r="C211">
        <f>[3]HHS_Unaccompanied_Alien_Childre!C211</f>
        <v>107</v>
      </c>
      <c r="D211">
        <f>[2]HHS_Unaccompanied_Alien_Childre!D211</f>
        <v>102</v>
      </c>
      <c r="E211">
        <f>[2]HHS_Unaccompanied_Alien_Childre!E211</f>
        <v>10398</v>
      </c>
      <c r="F211">
        <f>[3]HHS_Unaccompanied_Alien_Childre!F211</f>
        <v>284</v>
      </c>
      <c r="G211">
        <f t="shared" si="22"/>
        <v>175</v>
      </c>
      <c r="H211" t="str">
        <f t="shared" si="23"/>
        <v>Increase</v>
      </c>
      <c r="I211">
        <f t="shared" si="21"/>
        <v>-34</v>
      </c>
      <c r="J211">
        <f t="shared" si="24"/>
        <v>10398</v>
      </c>
      <c r="K211">
        <f t="shared" si="25"/>
        <v>9573</v>
      </c>
      <c r="L211">
        <f t="shared" si="26"/>
        <v>9483</v>
      </c>
      <c r="M211">
        <f t="shared" si="27"/>
        <v>9898</v>
      </c>
    </row>
    <row r="212" spans="1:13" x14ac:dyDescent="0.3">
      <c r="A212" s="2">
        <f>[1]HHS_Unaccompanied_Alien_Childre!G212</f>
        <v>45260</v>
      </c>
      <c r="B212">
        <f>[2]HHS_Unaccompanied_Alien_Childre!B212</f>
        <v>92</v>
      </c>
      <c r="C212">
        <f>[3]HHS_Unaccompanied_Alien_Childre!C212</f>
        <v>124</v>
      </c>
      <c r="D212">
        <f>[2]HHS_Unaccompanied_Alien_Childre!D212</f>
        <v>93</v>
      </c>
      <c r="E212">
        <f>[2]HHS_Unaccompanied_Alien_Childre!E212</f>
        <v>10536</v>
      </c>
      <c r="F212">
        <f>[3]HHS_Unaccompanied_Alien_Childre!F212</f>
        <v>320</v>
      </c>
      <c r="G212">
        <f t="shared" si="22"/>
        <v>138</v>
      </c>
      <c r="H212" t="str">
        <f t="shared" si="23"/>
        <v>Increase</v>
      </c>
      <c r="I212">
        <f t="shared" si="21"/>
        <v>-1</v>
      </c>
      <c r="J212">
        <f t="shared" si="24"/>
        <v>10536</v>
      </c>
      <c r="K212">
        <f t="shared" si="25"/>
        <v>9638</v>
      </c>
      <c r="L212">
        <f t="shared" si="26"/>
        <v>9634</v>
      </c>
      <c r="M212">
        <f t="shared" si="27"/>
        <v>10018</v>
      </c>
    </row>
    <row r="213" spans="1:13" x14ac:dyDescent="0.3">
      <c r="A213" s="2">
        <f>[1]HHS_Unaccompanied_Alien_Childre!G213</f>
        <v>45263</v>
      </c>
      <c r="B213">
        <f>[2]HHS_Unaccompanied_Alien_Childre!B213</f>
        <v>132</v>
      </c>
      <c r="C213">
        <f>[3]HHS_Unaccompanied_Alien_Childre!C213</f>
        <v>235</v>
      </c>
      <c r="D213">
        <f>[2]HHS_Unaccompanied_Alien_Childre!D213</f>
        <v>197</v>
      </c>
      <c r="E213">
        <f>[2]HHS_Unaccompanied_Alien_Childre!E213</f>
        <v>10579</v>
      </c>
      <c r="F213">
        <f>[3]HHS_Unaccompanied_Alien_Childre!F213</f>
        <v>417</v>
      </c>
      <c r="G213">
        <f t="shared" si="22"/>
        <v>43</v>
      </c>
      <c r="H213" t="str">
        <f t="shared" si="23"/>
        <v>Increase</v>
      </c>
      <c r="I213">
        <f t="shared" si="21"/>
        <v>-65</v>
      </c>
      <c r="J213">
        <f t="shared" si="24"/>
        <v>10579</v>
      </c>
      <c r="K213">
        <f t="shared" si="25"/>
        <v>9804</v>
      </c>
      <c r="L213">
        <f t="shared" si="26"/>
        <v>9477</v>
      </c>
      <c r="M213">
        <f t="shared" si="27"/>
        <v>10170</v>
      </c>
    </row>
    <row r="214" spans="1:13" x14ac:dyDescent="0.3">
      <c r="A214" s="2">
        <f>[1]HHS_Unaccompanied_Alien_Childre!G214</f>
        <v>45264</v>
      </c>
      <c r="B214">
        <f>[2]HHS_Unaccompanied_Alien_Childre!B214</f>
        <v>174</v>
      </c>
      <c r="C214">
        <f>[3]HHS_Unaccompanied_Alien_Childre!C214</f>
        <v>208</v>
      </c>
      <c r="D214">
        <f>[2]HHS_Unaccompanied_Alien_Childre!D214</f>
        <v>256</v>
      </c>
      <c r="E214">
        <f>[2]HHS_Unaccompanied_Alien_Childre!E214</f>
        <v>10635</v>
      </c>
      <c r="F214">
        <f>[3]HHS_Unaccompanied_Alien_Childre!F214</f>
        <v>273</v>
      </c>
      <c r="G214">
        <f t="shared" si="22"/>
        <v>56</v>
      </c>
      <c r="H214" t="str">
        <f t="shared" si="23"/>
        <v>Increase</v>
      </c>
      <c r="I214">
        <f t="shared" si="21"/>
        <v>-82</v>
      </c>
      <c r="J214">
        <f t="shared" si="24"/>
        <v>10635</v>
      </c>
      <c r="K214">
        <f t="shared" si="25"/>
        <v>9838</v>
      </c>
      <c r="L214">
        <f t="shared" si="26"/>
        <v>9510</v>
      </c>
      <c r="M214">
        <f t="shared" si="27"/>
        <v>10208.5</v>
      </c>
    </row>
    <row r="215" spans="1:13" x14ac:dyDescent="0.3">
      <c r="A215" s="2">
        <f>[1]HHS_Unaccompanied_Alien_Childre!G215</f>
        <v>45265</v>
      </c>
      <c r="B215">
        <f>[2]HHS_Unaccompanied_Alien_Childre!B215</f>
        <v>123</v>
      </c>
      <c r="C215">
        <f>[3]HHS_Unaccompanied_Alien_Childre!C215</f>
        <v>230</v>
      </c>
      <c r="D215">
        <f>[2]HHS_Unaccompanied_Alien_Childre!D215</f>
        <v>167</v>
      </c>
      <c r="E215">
        <f>[2]HHS_Unaccompanied_Alien_Childre!E215</f>
        <v>10761</v>
      </c>
      <c r="F215">
        <f>[3]HHS_Unaccompanied_Alien_Childre!F215</f>
        <v>261</v>
      </c>
      <c r="G215">
        <f t="shared" si="22"/>
        <v>126</v>
      </c>
      <c r="H215" t="str">
        <f t="shared" si="23"/>
        <v>Increase</v>
      </c>
      <c r="I215">
        <f t="shared" si="21"/>
        <v>-44</v>
      </c>
      <c r="J215">
        <f t="shared" si="24"/>
        <v>10761</v>
      </c>
      <c r="K215">
        <f t="shared" si="25"/>
        <v>9845</v>
      </c>
      <c r="L215">
        <f t="shared" si="26"/>
        <v>9665</v>
      </c>
      <c r="M215">
        <f t="shared" si="27"/>
        <v>10240</v>
      </c>
    </row>
    <row r="216" spans="1:13" x14ac:dyDescent="0.3">
      <c r="A216" s="2">
        <f>[1]HHS_Unaccompanied_Alien_Childre!G216</f>
        <v>45266</v>
      </c>
      <c r="B216">
        <f>[2]HHS_Unaccompanied_Alien_Childre!B216</f>
        <v>123</v>
      </c>
      <c r="C216">
        <f>[3]HHS_Unaccompanied_Alien_Childre!C216</f>
        <v>233</v>
      </c>
      <c r="D216">
        <f>[2]HHS_Unaccompanied_Alien_Childre!D216</f>
        <v>159</v>
      </c>
      <c r="E216">
        <f>[2]HHS_Unaccompanied_Alien_Childre!E216</f>
        <v>10832</v>
      </c>
      <c r="F216">
        <f>[3]HHS_Unaccompanied_Alien_Childre!F216</f>
        <v>376</v>
      </c>
      <c r="G216">
        <f t="shared" si="22"/>
        <v>71</v>
      </c>
      <c r="H216" t="str">
        <f t="shared" si="23"/>
        <v>Increase</v>
      </c>
      <c r="I216">
        <f t="shared" si="21"/>
        <v>-36</v>
      </c>
      <c r="J216">
        <f t="shared" si="24"/>
        <v>10832</v>
      </c>
      <c r="K216">
        <f t="shared" si="25"/>
        <v>10123</v>
      </c>
      <c r="L216">
        <f t="shared" si="26"/>
        <v>9762</v>
      </c>
      <c r="M216">
        <f t="shared" si="27"/>
        <v>10442</v>
      </c>
    </row>
    <row r="217" spans="1:13" x14ac:dyDescent="0.3">
      <c r="A217" s="2">
        <f>[1]HHS_Unaccompanied_Alien_Childre!G217</f>
        <v>45267</v>
      </c>
      <c r="B217">
        <f>[2]HHS_Unaccompanied_Alien_Childre!B217</f>
        <v>141</v>
      </c>
      <c r="C217">
        <f>[3]HHS_Unaccompanied_Alien_Childre!C217</f>
        <v>232</v>
      </c>
      <c r="D217">
        <f>[2]HHS_Unaccompanied_Alien_Childre!D217</f>
        <v>188</v>
      </c>
      <c r="E217">
        <f>[2]HHS_Unaccompanied_Alien_Childre!E217</f>
        <v>10897</v>
      </c>
      <c r="F217">
        <f>[3]HHS_Unaccompanied_Alien_Childre!F217</f>
        <v>466</v>
      </c>
      <c r="G217">
        <f t="shared" si="22"/>
        <v>65</v>
      </c>
      <c r="H217" t="str">
        <f t="shared" si="23"/>
        <v>Increase</v>
      </c>
      <c r="I217">
        <f t="shared" si="21"/>
        <v>-47</v>
      </c>
      <c r="J217">
        <f t="shared" si="24"/>
        <v>10897</v>
      </c>
      <c r="K217">
        <f t="shared" si="25"/>
        <v>10223</v>
      </c>
      <c r="L217">
        <f t="shared" si="26"/>
        <v>9762</v>
      </c>
      <c r="M217">
        <f t="shared" si="27"/>
        <v>10527.5</v>
      </c>
    </row>
    <row r="218" spans="1:13" x14ac:dyDescent="0.3">
      <c r="A218" s="2">
        <f>[1]HHS_Unaccompanied_Alien_Childre!G218</f>
        <v>45270</v>
      </c>
      <c r="B218">
        <f>[2]HHS_Unaccompanied_Alien_Childre!B218</f>
        <v>158</v>
      </c>
      <c r="C218">
        <f>[3]HHS_Unaccompanied_Alien_Childre!C218</f>
        <v>226</v>
      </c>
      <c r="D218">
        <f>[2]HHS_Unaccompanied_Alien_Childre!D218</f>
        <v>191</v>
      </c>
      <c r="E218">
        <f>[2]HHS_Unaccompanied_Alien_Childre!E218</f>
        <v>10871</v>
      </c>
      <c r="F218">
        <f>[3]HHS_Unaccompanied_Alien_Childre!F218</f>
        <v>411</v>
      </c>
      <c r="G218">
        <f t="shared" si="22"/>
        <v>-26</v>
      </c>
      <c r="H218" t="str">
        <f t="shared" si="23"/>
        <v>Decrease</v>
      </c>
      <c r="I218">
        <f t="shared" si="21"/>
        <v>-33</v>
      </c>
      <c r="J218">
        <f t="shared" si="24"/>
        <v>10871</v>
      </c>
      <c r="K218">
        <f t="shared" si="25"/>
        <v>10398</v>
      </c>
      <c r="L218">
        <f t="shared" si="26"/>
        <v>9573</v>
      </c>
      <c r="M218">
        <f t="shared" si="27"/>
        <v>10647.5</v>
      </c>
    </row>
    <row r="219" spans="1:13" x14ac:dyDescent="0.3">
      <c r="A219" s="2">
        <f>[1]HHS_Unaccompanied_Alien_Childre!G219</f>
        <v>45271</v>
      </c>
      <c r="B219">
        <f>[2]HHS_Unaccompanied_Alien_Childre!B219</f>
        <v>96</v>
      </c>
      <c r="C219">
        <f>[3]HHS_Unaccompanied_Alien_Childre!C219</f>
        <v>160</v>
      </c>
      <c r="D219">
        <f>[2]HHS_Unaccompanied_Alien_Childre!D219</f>
        <v>233</v>
      </c>
      <c r="E219">
        <f>[2]HHS_Unaccompanied_Alien_Childre!E219</f>
        <v>10998</v>
      </c>
      <c r="F219">
        <f>[3]HHS_Unaccompanied_Alien_Childre!F219</f>
        <v>304</v>
      </c>
      <c r="G219">
        <f t="shared" si="22"/>
        <v>127</v>
      </c>
      <c r="H219" t="str">
        <f t="shared" si="23"/>
        <v>Increase</v>
      </c>
      <c r="I219">
        <f t="shared" si="21"/>
        <v>-137</v>
      </c>
      <c r="J219">
        <f t="shared" si="24"/>
        <v>10998</v>
      </c>
      <c r="K219">
        <f t="shared" si="25"/>
        <v>10536</v>
      </c>
      <c r="L219">
        <f t="shared" si="26"/>
        <v>9638</v>
      </c>
      <c r="M219">
        <f t="shared" si="27"/>
        <v>10703.5</v>
      </c>
    </row>
    <row r="220" spans="1:13" x14ac:dyDescent="0.3">
      <c r="A220" s="2">
        <f>[1]HHS_Unaccompanied_Alien_Childre!G220</f>
        <v>45272</v>
      </c>
      <c r="B220">
        <f>[2]HHS_Unaccompanied_Alien_Childre!B220</f>
        <v>141</v>
      </c>
      <c r="C220">
        <f>[3]HHS_Unaccompanied_Alien_Childre!C220</f>
        <v>173</v>
      </c>
      <c r="D220">
        <f>[2]HHS_Unaccompanied_Alien_Childre!D220</f>
        <v>129</v>
      </c>
      <c r="E220">
        <f>[2]HHS_Unaccompanied_Alien_Childre!E220</f>
        <v>11077</v>
      </c>
      <c r="F220">
        <f>[3]HHS_Unaccompanied_Alien_Childre!F220</f>
        <v>259</v>
      </c>
      <c r="G220">
        <f t="shared" si="22"/>
        <v>79</v>
      </c>
      <c r="H220" t="str">
        <f t="shared" si="23"/>
        <v>Increase</v>
      </c>
      <c r="I220">
        <f t="shared" si="21"/>
        <v>12</v>
      </c>
      <c r="J220">
        <f t="shared" si="24"/>
        <v>11077</v>
      </c>
      <c r="K220">
        <f t="shared" si="25"/>
        <v>10579</v>
      </c>
      <c r="L220">
        <f t="shared" si="26"/>
        <v>9804</v>
      </c>
      <c r="M220">
        <f t="shared" si="27"/>
        <v>10788.5</v>
      </c>
    </row>
    <row r="221" spans="1:13" x14ac:dyDescent="0.3">
      <c r="A221" s="2">
        <f>[1]HHS_Unaccompanied_Alien_Childre!G221</f>
        <v>45273</v>
      </c>
      <c r="B221">
        <f>[2]HHS_Unaccompanied_Alien_Childre!B221</f>
        <v>116</v>
      </c>
      <c r="C221">
        <f>[3]HHS_Unaccompanied_Alien_Childre!C221</f>
        <v>181</v>
      </c>
      <c r="D221">
        <f>[2]HHS_Unaccompanied_Alien_Childre!D221</f>
        <v>182</v>
      </c>
      <c r="E221">
        <f>[2]HHS_Unaccompanied_Alien_Childre!E221</f>
        <v>11192</v>
      </c>
      <c r="F221">
        <f>[3]HHS_Unaccompanied_Alien_Childre!F221</f>
        <v>335</v>
      </c>
      <c r="G221">
        <f t="shared" si="22"/>
        <v>115</v>
      </c>
      <c r="H221" t="str">
        <f t="shared" si="23"/>
        <v>Increase</v>
      </c>
      <c r="I221">
        <f t="shared" si="21"/>
        <v>-66</v>
      </c>
      <c r="J221">
        <f t="shared" si="24"/>
        <v>11192</v>
      </c>
      <c r="K221">
        <f t="shared" si="25"/>
        <v>10635</v>
      </c>
      <c r="L221">
        <f t="shared" si="26"/>
        <v>9838</v>
      </c>
      <c r="M221">
        <f t="shared" si="27"/>
        <v>10856</v>
      </c>
    </row>
    <row r="222" spans="1:13" x14ac:dyDescent="0.3">
      <c r="A222" s="2">
        <f>[1]HHS_Unaccompanied_Alien_Childre!G222</f>
        <v>45274</v>
      </c>
      <c r="B222">
        <f>[2]HHS_Unaccompanied_Alien_Childre!B222</f>
        <v>150</v>
      </c>
      <c r="C222">
        <f>[3]HHS_Unaccompanied_Alien_Childre!C222</f>
        <v>157</v>
      </c>
      <c r="D222">
        <f>[2]HHS_Unaccompanied_Alien_Childre!D222</f>
        <v>201</v>
      </c>
      <c r="E222">
        <f>[2]HHS_Unaccompanied_Alien_Childre!E222</f>
        <v>11242</v>
      </c>
      <c r="F222">
        <f>[3]HHS_Unaccompanied_Alien_Childre!F222</f>
        <v>396</v>
      </c>
      <c r="G222">
        <f t="shared" si="22"/>
        <v>50</v>
      </c>
      <c r="H222" t="str">
        <f t="shared" si="23"/>
        <v>Increase</v>
      </c>
      <c r="I222">
        <f t="shared" si="21"/>
        <v>-51</v>
      </c>
      <c r="J222">
        <f t="shared" si="24"/>
        <v>11242</v>
      </c>
      <c r="K222">
        <f t="shared" si="25"/>
        <v>10761</v>
      </c>
      <c r="L222">
        <f t="shared" si="26"/>
        <v>9845</v>
      </c>
      <c r="M222">
        <f t="shared" si="27"/>
        <v>10976.5</v>
      </c>
    </row>
    <row r="223" spans="1:13" x14ac:dyDescent="0.3">
      <c r="A223" s="2">
        <f>[1]HHS_Unaccompanied_Alien_Childre!G223</f>
        <v>45277</v>
      </c>
      <c r="B223">
        <f>[2]HHS_Unaccompanied_Alien_Childre!B223</f>
        <v>80</v>
      </c>
      <c r="C223">
        <f>[3]HHS_Unaccompanied_Alien_Childre!C223</f>
        <v>176</v>
      </c>
      <c r="D223">
        <f>[2]HHS_Unaccompanied_Alien_Childre!D223</f>
        <v>125</v>
      </c>
      <c r="E223">
        <f>[2]HHS_Unaccompanied_Alien_Childre!E223</f>
        <v>11092</v>
      </c>
      <c r="F223">
        <f>[3]HHS_Unaccompanied_Alien_Childre!F223</f>
        <v>456</v>
      </c>
      <c r="G223">
        <f t="shared" si="22"/>
        <v>-150</v>
      </c>
      <c r="H223" t="str">
        <f t="shared" si="23"/>
        <v>Decrease</v>
      </c>
      <c r="I223">
        <f t="shared" si="21"/>
        <v>-45</v>
      </c>
      <c r="J223">
        <f t="shared" si="24"/>
        <v>11092</v>
      </c>
      <c r="K223">
        <f t="shared" si="25"/>
        <v>10832</v>
      </c>
      <c r="L223">
        <f t="shared" si="26"/>
        <v>10123</v>
      </c>
      <c r="M223">
        <f t="shared" si="27"/>
        <v>11037</v>
      </c>
    </row>
    <row r="224" spans="1:13" x14ac:dyDescent="0.3">
      <c r="A224" s="2">
        <f>[1]HHS_Unaccompanied_Alien_Childre!G224</f>
        <v>45278</v>
      </c>
      <c r="B224">
        <f>[2]HHS_Unaccompanied_Alien_Childre!B224</f>
        <v>116</v>
      </c>
      <c r="C224">
        <f>[3]HHS_Unaccompanied_Alien_Childre!C224</f>
        <v>188</v>
      </c>
      <c r="D224">
        <f>[2]HHS_Unaccompanied_Alien_Childre!D224</f>
        <v>164</v>
      </c>
      <c r="E224">
        <f>[2]HHS_Unaccompanied_Alien_Childre!E224</f>
        <v>11149</v>
      </c>
      <c r="F224">
        <f>[3]HHS_Unaccompanied_Alien_Childre!F224</f>
        <v>364</v>
      </c>
      <c r="G224">
        <f t="shared" si="22"/>
        <v>57</v>
      </c>
      <c r="H224" t="str">
        <f t="shared" si="23"/>
        <v>Increase</v>
      </c>
      <c r="I224">
        <f t="shared" si="21"/>
        <v>-48</v>
      </c>
      <c r="J224">
        <f t="shared" si="24"/>
        <v>11149</v>
      </c>
      <c r="K224">
        <f t="shared" si="25"/>
        <v>10897</v>
      </c>
      <c r="L224">
        <f t="shared" si="26"/>
        <v>10223</v>
      </c>
      <c r="M224">
        <f t="shared" si="27"/>
        <v>10994.5</v>
      </c>
    </row>
    <row r="225" spans="1:13" x14ac:dyDescent="0.3">
      <c r="A225" s="2">
        <f>[1]HHS_Unaccompanied_Alien_Childre!G225</f>
        <v>45279</v>
      </c>
      <c r="B225">
        <f>[2]HHS_Unaccompanied_Alien_Childre!B225</f>
        <v>105</v>
      </c>
      <c r="C225">
        <f>[3]HHS_Unaccompanied_Alien_Childre!C225</f>
        <v>185</v>
      </c>
      <c r="D225">
        <f>[2]HHS_Unaccompanied_Alien_Childre!D225</f>
        <v>158</v>
      </c>
      <c r="E225">
        <f>[2]HHS_Unaccompanied_Alien_Childre!E225</f>
        <v>11291</v>
      </c>
      <c r="F225">
        <f>[3]HHS_Unaccompanied_Alien_Childre!F225</f>
        <v>272</v>
      </c>
      <c r="G225">
        <f t="shared" si="22"/>
        <v>142</v>
      </c>
      <c r="H225" t="str">
        <f t="shared" si="23"/>
        <v>Increase</v>
      </c>
      <c r="I225">
        <f t="shared" si="21"/>
        <v>-53</v>
      </c>
      <c r="J225">
        <f t="shared" si="24"/>
        <v>11291</v>
      </c>
      <c r="K225">
        <f t="shared" si="25"/>
        <v>10871</v>
      </c>
      <c r="L225">
        <f t="shared" si="26"/>
        <v>10398</v>
      </c>
      <c r="M225">
        <f t="shared" si="27"/>
        <v>11010</v>
      </c>
    </row>
    <row r="226" spans="1:13" x14ac:dyDescent="0.3">
      <c r="A226" s="2">
        <f>[1]HHS_Unaccompanied_Alien_Childre!G226</f>
        <v>45280</v>
      </c>
      <c r="B226">
        <f>[2]HHS_Unaccompanied_Alien_Childre!B226</f>
        <v>136</v>
      </c>
      <c r="C226">
        <f>[3]HHS_Unaccompanied_Alien_Childre!C226</f>
        <v>246</v>
      </c>
      <c r="D226">
        <f>[2]HHS_Unaccompanied_Alien_Childre!D226</f>
        <v>123</v>
      </c>
      <c r="E226">
        <f>[2]HHS_Unaccompanied_Alien_Childre!E226</f>
        <v>11516</v>
      </c>
      <c r="F226">
        <f>[3]HHS_Unaccompanied_Alien_Childre!F226</f>
        <v>390</v>
      </c>
      <c r="G226">
        <f t="shared" si="22"/>
        <v>225</v>
      </c>
      <c r="H226" t="str">
        <f t="shared" si="23"/>
        <v>Increase</v>
      </c>
      <c r="I226">
        <f t="shared" si="21"/>
        <v>13</v>
      </c>
      <c r="J226">
        <f t="shared" si="24"/>
        <v>11516</v>
      </c>
      <c r="K226">
        <f t="shared" si="25"/>
        <v>10998</v>
      </c>
      <c r="L226">
        <f t="shared" si="26"/>
        <v>10536</v>
      </c>
      <c r="M226">
        <f t="shared" si="27"/>
        <v>11144.5</v>
      </c>
    </row>
    <row r="227" spans="1:13" x14ac:dyDescent="0.3">
      <c r="A227" s="2">
        <f>[1]HHS_Unaccompanied_Alien_Childre!G227</f>
        <v>45281</v>
      </c>
      <c r="B227">
        <f>[2]HHS_Unaccompanied_Alien_Childre!B227</f>
        <v>128</v>
      </c>
      <c r="C227">
        <f>[3]HHS_Unaccompanied_Alien_Childre!C227</f>
        <v>228</v>
      </c>
      <c r="D227">
        <f>[2]HHS_Unaccompanied_Alien_Childre!D227</f>
        <v>177</v>
      </c>
      <c r="E227">
        <f>[2]HHS_Unaccompanied_Alien_Childre!E227</f>
        <v>11375</v>
      </c>
      <c r="F227">
        <f>[3]HHS_Unaccompanied_Alien_Childre!F227</f>
        <v>497</v>
      </c>
      <c r="G227">
        <f t="shared" si="22"/>
        <v>-141</v>
      </c>
      <c r="H227" t="str">
        <f t="shared" si="23"/>
        <v>Decrease</v>
      </c>
      <c r="I227">
        <f t="shared" si="21"/>
        <v>-49</v>
      </c>
      <c r="J227">
        <f t="shared" si="24"/>
        <v>11375</v>
      </c>
      <c r="K227">
        <f t="shared" si="25"/>
        <v>11077</v>
      </c>
      <c r="L227">
        <f t="shared" si="26"/>
        <v>10579</v>
      </c>
      <c r="M227">
        <f t="shared" si="27"/>
        <v>11296.5</v>
      </c>
    </row>
    <row r="228" spans="1:13" x14ac:dyDescent="0.3">
      <c r="A228" s="2">
        <f>[1]HHS_Unaccompanied_Alien_Childre!G228</f>
        <v>45285</v>
      </c>
      <c r="B228">
        <f>[2]HHS_Unaccompanied_Alien_Childre!B228</f>
        <v>90</v>
      </c>
      <c r="C228">
        <f>[3]HHS_Unaccompanied_Alien_Childre!C228</f>
        <v>196</v>
      </c>
      <c r="D228">
        <f>[2]HHS_Unaccompanied_Alien_Childre!D228</f>
        <v>205</v>
      </c>
      <c r="E228">
        <f>[2]HHS_Unaccompanied_Alien_Childre!E228</f>
        <v>11144</v>
      </c>
      <c r="F228">
        <f>[3]HHS_Unaccompanied_Alien_Childre!F228</f>
        <v>347</v>
      </c>
      <c r="G228">
        <f t="shared" si="22"/>
        <v>-231</v>
      </c>
      <c r="H228" t="str">
        <f t="shared" si="23"/>
        <v>Decrease</v>
      </c>
      <c r="I228">
        <f t="shared" si="21"/>
        <v>-115</v>
      </c>
      <c r="J228">
        <f t="shared" si="24"/>
        <v>11144</v>
      </c>
      <c r="K228">
        <f t="shared" si="25"/>
        <v>11192</v>
      </c>
      <c r="L228">
        <f t="shared" si="26"/>
        <v>10635</v>
      </c>
      <c r="M228">
        <f t="shared" si="27"/>
        <v>11283.5</v>
      </c>
    </row>
    <row r="229" spans="1:13" x14ac:dyDescent="0.3">
      <c r="A229" s="2">
        <f>[1]HHS_Unaccompanied_Alien_Childre!G229</f>
        <v>45286</v>
      </c>
      <c r="B229">
        <f>[2]HHS_Unaccompanied_Alien_Childre!B229</f>
        <v>56</v>
      </c>
      <c r="C229">
        <f>[3]HHS_Unaccompanied_Alien_Childre!C229</f>
        <v>82</v>
      </c>
      <c r="D229">
        <f>[2]HHS_Unaccompanied_Alien_Childre!D229</f>
        <v>68</v>
      </c>
      <c r="E229">
        <f>[2]HHS_Unaccompanied_Alien_Childre!E229</f>
        <v>11217</v>
      </c>
      <c r="F229">
        <f>[3]HHS_Unaccompanied_Alien_Childre!F229</f>
        <v>288</v>
      </c>
      <c r="G229">
        <f t="shared" si="22"/>
        <v>73</v>
      </c>
      <c r="H229" t="str">
        <f t="shared" si="23"/>
        <v>Increase</v>
      </c>
      <c r="I229">
        <f t="shared" si="21"/>
        <v>-12</v>
      </c>
      <c r="J229">
        <f t="shared" si="24"/>
        <v>11217</v>
      </c>
      <c r="K229">
        <f t="shared" si="25"/>
        <v>11242</v>
      </c>
      <c r="L229">
        <f t="shared" si="26"/>
        <v>10761</v>
      </c>
      <c r="M229">
        <f t="shared" si="27"/>
        <v>11193</v>
      </c>
    </row>
    <row r="230" spans="1:13" x14ac:dyDescent="0.3">
      <c r="A230" s="2">
        <f>[1]HHS_Unaccompanied_Alien_Childre!G230</f>
        <v>45287</v>
      </c>
      <c r="B230">
        <f>[2]HHS_Unaccompanied_Alien_Childre!B230</f>
        <v>74</v>
      </c>
      <c r="C230">
        <f>[3]HHS_Unaccompanied_Alien_Childre!C230</f>
        <v>103</v>
      </c>
      <c r="D230">
        <f>[2]HHS_Unaccompanied_Alien_Childre!D230</f>
        <v>80</v>
      </c>
      <c r="E230">
        <f>[2]HHS_Unaccompanied_Alien_Childre!E230</f>
        <v>11206</v>
      </c>
      <c r="F230">
        <f>[3]HHS_Unaccompanied_Alien_Childre!F230</f>
        <v>335</v>
      </c>
      <c r="G230">
        <f t="shared" si="22"/>
        <v>-11</v>
      </c>
      <c r="H230" t="str">
        <f t="shared" si="23"/>
        <v>Decrease</v>
      </c>
      <c r="I230">
        <f t="shared" si="21"/>
        <v>-6</v>
      </c>
      <c r="J230">
        <f t="shared" si="24"/>
        <v>11206</v>
      </c>
      <c r="K230">
        <f t="shared" si="25"/>
        <v>11092</v>
      </c>
      <c r="L230">
        <f t="shared" si="26"/>
        <v>10832</v>
      </c>
      <c r="M230">
        <f t="shared" si="27"/>
        <v>11154.5</v>
      </c>
    </row>
    <row r="231" spans="1:13" x14ac:dyDescent="0.3">
      <c r="A231" s="2">
        <f>[1]HHS_Unaccompanied_Alien_Childre!G231</f>
        <v>45288</v>
      </c>
      <c r="B231">
        <f>[2]HHS_Unaccompanied_Alien_Childre!B231</f>
        <v>68</v>
      </c>
      <c r="C231">
        <f>[3]HHS_Unaccompanied_Alien_Childre!C231</f>
        <v>107</v>
      </c>
      <c r="D231">
        <f>[2]HHS_Unaccompanied_Alien_Childre!D231</f>
        <v>102</v>
      </c>
      <c r="E231">
        <f>[2]HHS_Unaccompanied_Alien_Childre!E231</f>
        <v>11230</v>
      </c>
      <c r="F231">
        <f>[3]HHS_Unaccompanied_Alien_Childre!F231</f>
        <v>357</v>
      </c>
      <c r="G231">
        <f t="shared" si="22"/>
        <v>24</v>
      </c>
      <c r="H231" t="str">
        <f t="shared" si="23"/>
        <v>Increase</v>
      </c>
      <c r="I231">
        <f t="shared" si="21"/>
        <v>-34</v>
      </c>
      <c r="J231">
        <f t="shared" si="24"/>
        <v>11230</v>
      </c>
      <c r="K231">
        <f t="shared" si="25"/>
        <v>11149</v>
      </c>
      <c r="L231">
        <f t="shared" si="26"/>
        <v>10897</v>
      </c>
      <c r="M231">
        <f t="shared" si="27"/>
        <v>11177.5</v>
      </c>
    </row>
    <row r="232" spans="1:13" x14ac:dyDescent="0.3">
      <c r="A232" s="2">
        <f>[1]HHS_Unaccompanied_Alien_Childre!G232</f>
        <v>45292</v>
      </c>
      <c r="B232">
        <f>[2]HHS_Unaccompanied_Alien_Childre!B232</f>
        <v>92</v>
      </c>
      <c r="C232">
        <f>[3]HHS_Unaccompanied_Alien_Childre!C232</f>
        <v>124</v>
      </c>
      <c r="D232">
        <f>[2]HHS_Unaccompanied_Alien_Childre!D232</f>
        <v>93</v>
      </c>
      <c r="E232">
        <f>[2]HHS_Unaccompanied_Alien_Childre!E232</f>
        <v>10870</v>
      </c>
      <c r="F232">
        <f>[3]HHS_Unaccompanied_Alien_Childre!F232</f>
        <v>290</v>
      </c>
      <c r="G232">
        <f t="shared" si="22"/>
        <v>-360</v>
      </c>
      <c r="H232" t="str">
        <f t="shared" si="23"/>
        <v>Decrease</v>
      </c>
      <c r="I232">
        <f t="shared" si="21"/>
        <v>-1</v>
      </c>
      <c r="J232">
        <f t="shared" si="24"/>
        <v>10870</v>
      </c>
      <c r="K232">
        <f t="shared" si="25"/>
        <v>11291</v>
      </c>
      <c r="L232">
        <f t="shared" si="26"/>
        <v>10871</v>
      </c>
      <c r="M232">
        <f t="shared" si="27"/>
        <v>11260.5</v>
      </c>
    </row>
    <row r="233" spans="1:13" x14ac:dyDescent="0.3">
      <c r="A233" s="2">
        <f>[1]HHS_Unaccompanied_Alien_Childre!G233</f>
        <v>45293</v>
      </c>
      <c r="B233">
        <f>[2]HHS_Unaccompanied_Alien_Childre!B233</f>
        <v>113</v>
      </c>
      <c r="C233">
        <f>[3]HHS_Unaccompanied_Alien_Childre!C233</f>
        <v>162</v>
      </c>
      <c r="D233">
        <f>[2]HHS_Unaccompanied_Alien_Childre!D233</f>
        <v>107</v>
      </c>
      <c r="E233">
        <f>[2]HHS_Unaccompanied_Alien_Childre!E233</f>
        <v>10770</v>
      </c>
      <c r="F233">
        <f>[3]HHS_Unaccompanied_Alien_Childre!F233</f>
        <v>316</v>
      </c>
      <c r="G233">
        <f t="shared" si="22"/>
        <v>-100</v>
      </c>
      <c r="H233" t="str">
        <f t="shared" si="23"/>
        <v>Decrease</v>
      </c>
      <c r="I233">
        <f t="shared" si="21"/>
        <v>6</v>
      </c>
      <c r="J233">
        <f t="shared" si="24"/>
        <v>10770</v>
      </c>
      <c r="K233">
        <f t="shared" si="25"/>
        <v>11516</v>
      </c>
      <c r="L233">
        <f t="shared" si="26"/>
        <v>10998</v>
      </c>
      <c r="M233">
        <f t="shared" si="27"/>
        <v>11193</v>
      </c>
    </row>
    <row r="234" spans="1:13" x14ac:dyDescent="0.3">
      <c r="A234" s="2">
        <f>[1]HHS_Unaccompanied_Alien_Childre!G234</f>
        <v>45294</v>
      </c>
      <c r="B234">
        <f>[2]HHS_Unaccompanied_Alien_Childre!B234</f>
        <v>106</v>
      </c>
      <c r="C234">
        <f>[3]HHS_Unaccompanied_Alien_Childre!C234</f>
        <v>196</v>
      </c>
      <c r="D234">
        <f>[2]HHS_Unaccompanied_Alien_Childre!D234</f>
        <v>131</v>
      </c>
      <c r="E234">
        <f>[2]HHS_Unaccompanied_Alien_Childre!E234</f>
        <v>10718</v>
      </c>
      <c r="F234">
        <f>[3]HHS_Unaccompanied_Alien_Childre!F234</f>
        <v>263</v>
      </c>
      <c r="G234">
        <f t="shared" si="22"/>
        <v>-52</v>
      </c>
      <c r="H234" t="str">
        <f t="shared" si="23"/>
        <v>Decrease</v>
      </c>
      <c r="I234">
        <f t="shared" si="21"/>
        <v>-25</v>
      </c>
      <c r="J234">
        <f t="shared" si="24"/>
        <v>10718</v>
      </c>
      <c r="K234">
        <f t="shared" si="25"/>
        <v>11375</v>
      </c>
      <c r="L234">
        <f t="shared" si="26"/>
        <v>11077</v>
      </c>
      <c r="M234">
        <f t="shared" si="27"/>
        <v>11072.5</v>
      </c>
    </row>
    <row r="235" spans="1:13" x14ac:dyDescent="0.3">
      <c r="A235" s="2">
        <f>[1]HHS_Unaccompanied_Alien_Childre!G235</f>
        <v>45295</v>
      </c>
      <c r="B235">
        <f>[2]HHS_Unaccompanied_Alien_Childre!B235</f>
        <v>86</v>
      </c>
      <c r="C235">
        <f>[3]HHS_Unaccompanied_Alien_Childre!C235</f>
        <v>152</v>
      </c>
      <c r="D235">
        <f>[2]HHS_Unaccompanied_Alien_Childre!D235</f>
        <v>168</v>
      </c>
      <c r="E235">
        <f>[2]HHS_Unaccompanied_Alien_Childre!E235</f>
        <v>10558</v>
      </c>
      <c r="F235">
        <f>[3]HHS_Unaccompanied_Alien_Childre!F235</f>
        <v>362</v>
      </c>
      <c r="G235">
        <f t="shared" si="22"/>
        <v>-160</v>
      </c>
      <c r="H235" t="str">
        <f t="shared" si="23"/>
        <v>Decrease</v>
      </c>
      <c r="I235">
        <f t="shared" si="21"/>
        <v>-82</v>
      </c>
      <c r="J235">
        <f t="shared" si="24"/>
        <v>10558</v>
      </c>
      <c r="K235">
        <f t="shared" si="25"/>
        <v>11144</v>
      </c>
      <c r="L235">
        <f t="shared" si="26"/>
        <v>11192</v>
      </c>
      <c r="M235">
        <f t="shared" si="27"/>
        <v>10931</v>
      </c>
    </row>
    <row r="236" spans="1:13" x14ac:dyDescent="0.3">
      <c r="A236" s="2">
        <f>[1]HHS_Unaccompanied_Alien_Childre!G236</f>
        <v>45298</v>
      </c>
      <c r="B236">
        <f>[2]HHS_Unaccompanied_Alien_Childre!B236</f>
        <v>84</v>
      </c>
      <c r="C236">
        <f>[3]HHS_Unaccompanied_Alien_Childre!C236</f>
        <v>118</v>
      </c>
      <c r="D236">
        <f>[2]HHS_Unaccompanied_Alien_Childre!D236</f>
        <v>136</v>
      </c>
      <c r="E236">
        <f>[2]HHS_Unaccompanied_Alien_Childre!E236</f>
        <v>9670</v>
      </c>
      <c r="F236">
        <f>[3]HHS_Unaccompanied_Alien_Childre!F236</f>
        <v>367</v>
      </c>
      <c r="G236">
        <f t="shared" si="22"/>
        <v>-888</v>
      </c>
      <c r="H236" t="str">
        <f t="shared" si="23"/>
        <v>Decrease</v>
      </c>
      <c r="I236">
        <f t="shared" si="21"/>
        <v>-52</v>
      </c>
      <c r="J236">
        <f t="shared" si="24"/>
        <v>9670</v>
      </c>
      <c r="K236">
        <f t="shared" si="25"/>
        <v>11217</v>
      </c>
      <c r="L236">
        <f t="shared" si="26"/>
        <v>11242</v>
      </c>
      <c r="M236">
        <f t="shared" si="27"/>
        <v>10887.5</v>
      </c>
    </row>
    <row r="237" spans="1:13" x14ac:dyDescent="0.3">
      <c r="A237" s="2">
        <f>[1]HHS_Unaccompanied_Alien_Childre!G237</f>
        <v>45299</v>
      </c>
      <c r="B237">
        <f>[2]HHS_Unaccompanied_Alien_Childre!B237</f>
        <v>59</v>
      </c>
      <c r="C237">
        <f>[3]HHS_Unaccompanied_Alien_Childre!C237</f>
        <v>64</v>
      </c>
      <c r="D237">
        <f>[2]HHS_Unaccompanied_Alien_Childre!D237</f>
        <v>117</v>
      </c>
      <c r="E237">
        <f>[2]HHS_Unaccompanied_Alien_Childre!E237</f>
        <v>9670</v>
      </c>
      <c r="F237">
        <f>[3]HHS_Unaccompanied_Alien_Childre!F237</f>
        <v>367</v>
      </c>
      <c r="G237">
        <f t="shared" si="22"/>
        <v>0</v>
      </c>
      <c r="H237" t="str">
        <f t="shared" si="23"/>
        <v>No Change</v>
      </c>
      <c r="I237">
        <f t="shared" si="21"/>
        <v>-58</v>
      </c>
      <c r="J237">
        <f t="shared" si="24"/>
        <v>9670</v>
      </c>
      <c r="K237">
        <f t="shared" si="25"/>
        <v>11206</v>
      </c>
      <c r="L237">
        <f t="shared" si="26"/>
        <v>11092</v>
      </c>
      <c r="M237">
        <f t="shared" si="27"/>
        <v>10438</v>
      </c>
    </row>
    <row r="238" spans="1:13" x14ac:dyDescent="0.3">
      <c r="A238" s="2">
        <f>[1]HHS_Unaccompanied_Alien_Childre!G238</f>
        <v>45300</v>
      </c>
      <c r="B238">
        <f>[2]HHS_Unaccompanied_Alien_Childre!B238</f>
        <v>62</v>
      </c>
      <c r="C238">
        <f>[3]HHS_Unaccompanied_Alien_Childre!C238</f>
        <v>97</v>
      </c>
      <c r="D238">
        <f>[2]HHS_Unaccompanied_Alien_Childre!D238</f>
        <v>52</v>
      </c>
      <c r="E238">
        <f>[2]HHS_Unaccompanied_Alien_Childre!E238</f>
        <v>9311</v>
      </c>
      <c r="F238">
        <f>[3]HHS_Unaccompanied_Alien_Childre!F238</f>
        <v>286</v>
      </c>
      <c r="G238">
        <f t="shared" si="22"/>
        <v>-359</v>
      </c>
      <c r="H238" t="str">
        <f t="shared" si="23"/>
        <v>Decrease</v>
      </c>
      <c r="I238">
        <f t="shared" si="21"/>
        <v>10</v>
      </c>
      <c r="J238">
        <f t="shared" si="24"/>
        <v>9311</v>
      </c>
      <c r="K238">
        <f t="shared" si="25"/>
        <v>11230</v>
      </c>
      <c r="L238">
        <f t="shared" si="26"/>
        <v>11149</v>
      </c>
      <c r="M238">
        <f t="shared" si="27"/>
        <v>10450</v>
      </c>
    </row>
    <row r="239" spans="1:13" x14ac:dyDescent="0.3">
      <c r="A239" s="2">
        <f>[1]HHS_Unaccompanied_Alien_Childre!G239</f>
        <v>45301</v>
      </c>
      <c r="B239">
        <f>[2]HHS_Unaccompanied_Alien_Childre!B239</f>
        <v>91</v>
      </c>
      <c r="C239">
        <f>[3]HHS_Unaccompanied_Alien_Childre!C239</f>
        <v>75</v>
      </c>
      <c r="D239">
        <f>[2]HHS_Unaccompanied_Alien_Childre!D239</f>
        <v>97</v>
      </c>
      <c r="E239">
        <f>[2]HHS_Unaccompanied_Alien_Childre!E239</f>
        <v>9144</v>
      </c>
      <c r="F239">
        <f>[3]HHS_Unaccompanied_Alien_Childre!F239</f>
        <v>349</v>
      </c>
      <c r="G239">
        <f t="shared" si="22"/>
        <v>-167</v>
      </c>
      <c r="H239" t="str">
        <f t="shared" si="23"/>
        <v>Decrease</v>
      </c>
      <c r="I239">
        <f t="shared" si="21"/>
        <v>-6</v>
      </c>
      <c r="J239">
        <f t="shared" si="24"/>
        <v>9144</v>
      </c>
      <c r="K239">
        <f t="shared" si="25"/>
        <v>10870</v>
      </c>
      <c r="L239">
        <f t="shared" si="26"/>
        <v>11291</v>
      </c>
      <c r="M239">
        <f t="shared" si="27"/>
        <v>10090.5</v>
      </c>
    </row>
    <row r="240" spans="1:13" x14ac:dyDescent="0.3">
      <c r="A240" s="2">
        <f>[1]HHS_Unaccompanied_Alien_Childre!G240</f>
        <v>45302</v>
      </c>
      <c r="B240">
        <f>[2]HHS_Unaccompanied_Alien_Childre!B240</f>
        <v>29</v>
      </c>
      <c r="C240">
        <f>[3]HHS_Unaccompanied_Alien_Childre!C240</f>
        <v>51</v>
      </c>
      <c r="D240">
        <f>[2]HHS_Unaccompanied_Alien_Childre!D240</f>
        <v>11</v>
      </c>
      <c r="E240">
        <f>[2]HHS_Unaccompanied_Alien_Childre!E240</f>
        <v>8829</v>
      </c>
      <c r="F240">
        <f>[3]HHS_Unaccompanied_Alien_Childre!F240</f>
        <v>476</v>
      </c>
      <c r="G240">
        <f t="shared" si="22"/>
        <v>-315</v>
      </c>
      <c r="H240" t="str">
        <f t="shared" si="23"/>
        <v>Decrease</v>
      </c>
      <c r="I240">
        <f t="shared" si="21"/>
        <v>18</v>
      </c>
      <c r="J240">
        <f t="shared" si="24"/>
        <v>8829</v>
      </c>
      <c r="K240">
        <f t="shared" si="25"/>
        <v>10770</v>
      </c>
      <c r="L240">
        <f t="shared" si="26"/>
        <v>11516</v>
      </c>
      <c r="M240">
        <f t="shared" si="27"/>
        <v>9957</v>
      </c>
    </row>
    <row r="241" spans="1:13" x14ac:dyDescent="0.3">
      <c r="A241" s="2">
        <f>[1]HHS_Unaccompanied_Alien_Childre!G241</f>
        <v>45306</v>
      </c>
      <c r="B241">
        <f>[2]HHS_Unaccompanied_Alien_Childre!B241</f>
        <v>33</v>
      </c>
      <c r="C241">
        <f>[3]HHS_Unaccompanied_Alien_Childre!C241</f>
        <v>53</v>
      </c>
      <c r="D241">
        <f>[2]HHS_Unaccompanied_Alien_Childre!D241</f>
        <v>34</v>
      </c>
      <c r="E241">
        <f>[2]HHS_Unaccompanied_Alien_Childre!E241</f>
        <v>8033</v>
      </c>
      <c r="F241">
        <f>[3]HHS_Unaccompanied_Alien_Childre!F241</f>
        <v>234</v>
      </c>
      <c r="G241">
        <f t="shared" si="22"/>
        <v>-796</v>
      </c>
      <c r="H241" t="str">
        <f t="shared" si="23"/>
        <v>Decrease</v>
      </c>
      <c r="I241">
        <f t="shared" si="21"/>
        <v>-1</v>
      </c>
      <c r="J241">
        <f t="shared" si="24"/>
        <v>8033</v>
      </c>
      <c r="K241">
        <f t="shared" si="25"/>
        <v>10718</v>
      </c>
      <c r="L241">
        <f t="shared" si="26"/>
        <v>11375</v>
      </c>
      <c r="M241">
        <f t="shared" si="27"/>
        <v>9773.5</v>
      </c>
    </row>
    <row r="242" spans="1:13" x14ac:dyDescent="0.3">
      <c r="A242" s="2">
        <f>[1]HHS_Unaccompanied_Alien_Childre!G242</f>
        <v>45307</v>
      </c>
      <c r="B242">
        <f>[2]HHS_Unaccompanied_Alien_Childre!B242</f>
        <v>32</v>
      </c>
      <c r="C242">
        <f>[3]HHS_Unaccompanied_Alien_Childre!C242</f>
        <v>49</v>
      </c>
      <c r="D242">
        <f>[2]HHS_Unaccompanied_Alien_Childre!D242</f>
        <v>39</v>
      </c>
      <c r="E242">
        <f>[2]HHS_Unaccompanied_Alien_Childre!E242</f>
        <v>8133</v>
      </c>
      <c r="F242">
        <f>[3]HHS_Unaccompanied_Alien_Childre!F242</f>
        <v>188</v>
      </c>
      <c r="G242">
        <f t="shared" si="22"/>
        <v>100</v>
      </c>
      <c r="H242" t="str">
        <f t="shared" si="23"/>
        <v>Increase</v>
      </c>
      <c r="I242">
        <f t="shared" si="21"/>
        <v>-7</v>
      </c>
      <c r="J242">
        <f t="shared" si="24"/>
        <v>8133</v>
      </c>
      <c r="K242">
        <f t="shared" si="25"/>
        <v>10558</v>
      </c>
      <c r="L242">
        <f t="shared" si="26"/>
        <v>11144</v>
      </c>
      <c r="M242">
        <f t="shared" si="27"/>
        <v>9295.5</v>
      </c>
    </row>
    <row r="243" spans="1:13" x14ac:dyDescent="0.3">
      <c r="A243" s="2">
        <f>[1]HHS_Unaccompanied_Alien_Childre!G243</f>
        <v>45308</v>
      </c>
      <c r="B243">
        <f>[2]HHS_Unaccompanied_Alien_Childre!B243</f>
        <v>80</v>
      </c>
      <c r="C243">
        <f>[3]HHS_Unaccompanied_Alien_Childre!C243</f>
        <v>176</v>
      </c>
      <c r="D243">
        <f>[2]HHS_Unaccompanied_Alien_Childre!D243</f>
        <v>125</v>
      </c>
      <c r="E243">
        <f>[2]HHS_Unaccompanied_Alien_Childre!E243</f>
        <v>8072</v>
      </c>
      <c r="F243">
        <f>[3]HHS_Unaccompanied_Alien_Childre!F243</f>
        <v>353</v>
      </c>
      <c r="G243">
        <f t="shared" si="22"/>
        <v>-61</v>
      </c>
      <c r="H243" t="str">
        <f t="shared" si="23"/>
        <v>Decrease</v>
      </c>
      <c r="I243">
        <f t="shared" si="21"/>
        <v>-45</v>
      </c>
      <c r="J243">
        <f t="shared" si="24"/>
        <v>8072</v>
      </c>
      <c r="K243">
        <f t="shared" si="25"/>
        <v>9670</v>
      </c>
      <c r="L243">
        <f t="shared" si="26"/>
        <v>11217</v>
      </c>
      <c r="M243">
        <f t="shared" si="27"/>
        <v>8901.5</v>
      </c>
    </row>
    <row r="244" spans="1:13" x14ac:dyDescent="0.3">
      <c r="A244" s="2">
        <f>[1]HHS_Unaccompanied_Alien_Childre!G244</f>
        <v>45309</v>
      </c>
      <c r="B244">
        <f>[2]HHS_Unaccompanied_Alien_Childre!B244</f>
        <v>116</v>
      </c>
      <c r="C244">
        <f>[3]HHS_Unaccompanied_Alien_Childre!C244</f>
        <v>188</v>
      </c>
      <c r="D244">
        <f>[2]HHS_Unaccompanied_Alien_Childre!D244</f>
        <v>164</v>
      </c>
      <c r="E244">
        <f>[2]HHS_Unaccompanied_Alien_Childre!E244</f>
        <v>8042</v>
      </c>
      <c r="F244">
        <f>[3]HHS_Unaccompanied_Alien_Childre!F244</f>
        <v>359</v>
      </c>
      <c r="G244">
        <f t="shared" si="22"/>
        <v>-30</v>
      </c>
      <c r="H244" t="str">
        <f t="shared" si="23"/>
        <v>Decrease</v>
      </c>
      <c r="I244">
        <f t="shared" si="21"/>
        <v>-48</v>
      </c>
      <c r="J244">
        <f t="shared" si="24"/>
        <v>8042</v>
      </c>
      <c r="K244">
        <f t="shared" si="25"/>
        <v>9670</v>
      </c>
      <c r="L244">
        <f t="shared" si="26"/>
        <v>11206</v>
      </c>
      <c r="M244">
        <f t="shared" si="27"/>
        <v>8871</v>
      </c>
    </row>
    <row r="245" spans="1:13" x14ac:dyDescent="0.3">
      <c r="A245" s="2">
        <f>[1]HHS_Unaccompanied_Alien_Childre!G245</f>
        <v>45312</v>
      </c>
      <c r="B245">
        <f>[2]HHS_Unaccompanied_Alien_Childre!B245</f>
        <v>105</v>
      </c>
      <c r="C245">
        <f>[3]HHS_Unaccompanied_Alien_Childre!C245</f>
        <v>185</v>
      </c>
      <c r="D245">
        <f>[2]HHS_Unaccompanied_Alien_Childre!D245</f>
        <v>158</v>
      </c>
      <c r="E245">
        <f>[2]HHS_Unaccompanied_Alien_Childre!E245</f>
        <v>7974</v>
      </c>
      <c r="F245">
        <f>[3]HHS_Unaccompanied_Alien_Childre!F245</f>
        <v>371</v>
      </c>
      <c r="G245">
        <f t="shared" si="22"/>
        <v>-68</v>
      </c>
      <c r="H245" t="str">
        <f t="shared" si="23"/>
        <v>Decrease</v>
      </c>
      <c r="I245">
        <f t="shared" si="21"/>
        <v>-53</v>
      </c>
      <c r="J245">
        <f t="shared" si="24"/>
        <v>7974</v>
      </c>
      <c r="K245">
        <f t="shared" si="25"/>
        <v>9311</v>
      </c>
      <c r="L245">
        <f t="shared" si="26"/>
        <v>11230</v>
      </c>
      <c r="M245">
        <f t="shared" si="27"/>
        <v>8676.5</v>
      </c>
    </row>
    <row r="246" spans="1:13" x14ac:dyDescent="0.3">
      <c r="A246" s="2">
        <f>[1]HHS_Unaccompanied_Alien_Childre!G246</f>
        <v>45313</v>
      </c>
      <c r="B246">
        <f>[2]HHS_Unaccompanied_Alien_Childre!B246</f>
        <v>136</v>
      </c>
      <c r="C246">
        <f>[3]HHS_Unaccompanied_Alien_Childre!C246</f>
        <v>246</v>
      </c>
      <c r="D246">
        <f>[2]HHS_Unaccompanied_Alien_Childre!D246</f>
        <v>123</v>
      </c>
      <c r="E246">
        <f>[2]HHS_Unaccompanied_Alien_Childre!E246</f>
        <v>8008</v>
      </c>
      <c r="F246">
        <f>[3]HHS_Unaccompanied_Alien_Childre!F246</f>
        <v>222</v>
      </c>
      <c r="G246">
        <f t="shared" si="22"/>
        <v>34</v>
      </c>
      <c r="H246" t="str">
        <f t="shared" si="23"/>
        <v>Increase</v>
      </c>
      <c r="I246">
        <f t="shared" si="21"/>
        <v>13</v>
      </c>
      <c r="J246">
        <f t="shared" si="24"/>
        <v>8008</v>
      </c>
      <c r="K246">
        <f t="shared" si="25"/>
        <v>9144</v>
      </c>
      <c r="L246">
        <f t="shared" si="26"/>
        <v>10870</v>
      </c>
      <c r="M246">
        <f t="shared" si="27"/>
        <v>8559</v>
      </c>
    </row>
    <row r="247" spans="1:13" x14ac:dyDescent="0.3">
      <c r="A247" s="2">
        <f>[1]HHS_Unaccompanied_Alien_Childre!G247</f>
        <v>45314</v>
      </c>
      <c r="B247">
        <f>[2]HHS_Unaccompanied_Alien_Childre!B247</f>
        <v>128</v>
      </c>
      <c r="C247">
        <f>[3]HHS_Unaccompanied_Alien_Childre!C247</f>
        <v>228</v>
      </c>
      <c r="D247">
        <f>[2]HHS_Unaccompanied_Alien_Childre!D247</f>
        <v>177</v>
      </c>
      <c r="E247">
        <f>[2]HHS_Unaccompanied_Alien_Childre!E247</f>
        <v>8133</v>
      </c>
      <c r="F247">
        <f>[3]HHS_Unaccompanied_Alien_Childre!F247</f>
        <v>202</v>
      </c>
      <c r="G247">
        <f t="shared" si="22"/>
        <v>125</v>
      </c>
      <c r="H247" t="str">
        <f t="shared" si="23"/>
        <v>Increase</v>
      </c>
      <c r="I247">
        <f t="shared" si="21"/>
        <v>-49</v>
      </c>
      <c r="J247">
        <f t="shared" si="24"/>
        <v>8133</v>
      </c>
      <c r="K247">
        <f t="shared" si="25"/>
        <v>8829</v>
      </c>
      <c r="L247">
        <f t="shared" si="26"/>
        <v>10770</v>
      </c>
      <c r="M247">
        <f t="shared" si="27"/>
        <v>8418.5</v>
      </c>
    </row>
    <row r="248" spans="1:13" x14ac:dyDescent="0.3">
      <c r="A248" s="2">
        <f>[1]HHS_Unaccompanied_Alien_Childre!G248</f>
        <v>45315</v>
      </c>
      <c r="B248">
        <f>[2]HHS_Unaccompanied_Alien_Childre!B248</f>
        <v>90</v>
      </c>
      <c r="C248">
        <f>[3]HHS_Unaccompanied_Alien_Childre!C248</f>
        <v>196</v>
      </c>
      <c r="D248">
        <f>[2]HHS_Unaccompanied_Alien_Childre!D248</f>
        <v>205</v>
      </c>
      <c r="E248">
        <f>[2]HHS_Unaccompanied_Alien_Childre!E248</f>
        <v>8212</v>
      </c>
      <c r="F248">
        <f>[3]HHS_Unaccompanied_Alien_Childre!F248</f>
        <v>243</v>
      </c>
      <c r="G248">
        <f t="shared" si="22"/>
        <v>79</v>
      </c>
      <c r="H248" t="str">
        <f t="shared" si="23"/>
        <v>Increase</v>
      </c>
      <c r="I248">
        <f t="shared" si="21"/>
        <v>-115</v>
      </c>
      <c r="J248">
        <f t="shared" si="24"/>
        <v>8212</v>
      </c>
      <c r="K248">
        <f t="shared" si="25"/>
        <v>8033</v>
      </c>
      <c r="L248">
        <f t="shared" si="26"/>
        <v>10718</v>
      </c>
      <c r="M248">
        <f t="shared" si="27"/>
        <v>8083</v>
      </c>
    </row>
    <row r="249" spans="1:13" x14ac:dyDescent="0.3">
      <c r="A249" s="2">
        <f>[1]HHS_Unaccompanied_Alien_Childre!G249</f>
        <v>45316</v>
      </c>
      <c r="B249">
        <f>[2]HHS_Unaccompanied_Alien_Childre!B249</f>
        <v>102</v>
      </c>
      <c r="C249">
        <f>[3]HHS_Unaccompanied_Alien_Childre!C249</f>
        <v>189</v>
      </c>
      <c r="D249">
        <f>[2]HHS_Unaccompanied_Alien_Childre!D249</f>
        <v>155</v>
      </c>
      <c r="E249">
        <f>[2]HHS_Unaccompanied_Alien_Childre!E249</f>
        <v>8180</v>
      </c>
      <c r="F249">
        <f>[3]HHS_Unaccompanied_Alien_Childre!F249</f>
        <v>293</v>
      </c>
      <c r="G249">
        <f t="shared" si="22"/>
        <v>-32</v>
      </c>
      <c r="H249" t="str">
        <f t="shared" si="23"/>
        <v>Decrease</v>
      </c>
      <c r="I249">
        <f t="shared" si="21"/>
        <v>-53</v>
      </c>
      <c r="J249">
        <f t="shared" si="24"/>
        <v>8180</v>
      </c>
      <c r="K249">
        <f t="shared" si="25"/>
        <v>8133</v>
      </c>
      <c r="L249">
        <f t="shared" si="26"/>
        <v>10558</v>
      </c>
      <c r="M249">
        <f t="shared" si="27"/>
        <v>8172.5</v>
      </c>
    </row>
    <row r="250" spans="1:13" x14ac:dyDescent="0.3">
      <c r="A250" s="2">
        <f>[1]HHS_Unaccompanied_Alien_Childre!G250</f>
        <v>45319</v>
      </c>
      <c r="B250">
        <f>[2]HHS_Unaccompanied_Alien_Childre!B250</f>
        <v>120</v>
      </c>
      <c r="C250">
        <f>[3]HHS_Unaccompanied_Alien_Childre!C250</f>
        <v>257</v>
      </c>
      <c r="D250">
        <f>[2]HHS_Unaccompanied_Alien_Childre!D250</f>
        <v>126</v>
      </c>
      <c r="E250">
        <f>[2]HHS_Unaccompanied_Alien_Childre!E250</f>
        <v>8004</v>
      </c>
      <c r="F250">
        <f>[3]HHS_Unaccompanied_Alien_Childre!F250</f>
        <v>307</v>
      </c>
      <c r="G250">
        <f t="shared" si="22"/>
        <v>-176</v>
      </c>
      <c r="H250" t="str">
        <f t="shared" si="23"/>
        <v>Decrease</v>
      </c>
      <c r="I250">
        <f t="shared" si="21"/>
        <v>-6</v>
      </c>
      <c r="J250">
        <f t="shared" si="24"/>
        <v>8004</v>
      </c>
      <c r="K250">
        <f t="shared" si="25"/>
        <v>8072</v>
      </c>
      <c r="L250">
        <f t="shared" si="26"/>
        <v>9670</v>
      </c>
      <c r="M250">
        <f t="shared" si="27"/>
        <v>8126</v>
      </c>
    </row>
    <row r="251" spans="1:13" x14ac:dyDescent="0.3">
      <c r="A251" s="2">
        <f>[1]HHS_Unaccompanied_Alien_Childre!G251</f>
        <v>45320</v>
      </c>
      <c r="B251">
        <f>[2]HHS_Unaccompanied_Alien_Childre!B251</f>
        <v>137</v>
      </c>
      <c r="C251">
        <f>[3]HHS_Unaccompanied_Alien_Childre!C251</f>
        <v>272</v>
      </c>
      <c r="D251">
        <f>[2]HHS_Unaccompanied_Alien_Childre!D251</f>
        <v>166</v>
      </c>
      <c r="E251">
        <f>[2]HHS_Unaccompanied_Alien_Childre!E251</f>
        <v>8057</v>
      </c>
      <c r="F251">
        <f>[3]HHS_Unaccompanied_Alien_Childre!F251</f>
        <v>195</v>
      </c>
      <c r="G251">
        <f t="shared" si="22"/>
        <v>53</v>
      </c>
      <c r="H251" t="str">
        <f t="shared" si="23"/>
        <v>Increase</v>
      </c>
      <c r="I251">
        <f t="shared" si="21"/>
        <v>-29</v>
      </c>
      <c r="J251">
        <f t="shared" si="24"/>
        <v>8057</v>
      </c>
      <c r="K251">
        <f t="shared" si="25"/>
        <v>8042</v>
      </c>
      <c r="L251">
        <f t="shared" si="26"/>
        <v>9670</v>
      </c>
      <c r="M251">
        <f t="shared" si="27"/>
        <v>8023</v>
      </c>
    </row>
    <row r="252" spans="1:13" x14ac:dyDescent="0.3">
      <c r="A252" s="2">
        <f>[1]HHS_Unaccompanied_Alien_Childre!G252</f>
        <v>45321</v>
      </c>
      <c r="B252">
        <f>[2]HHS_Unaccompanied_Alien_Childre!B252</f>
        <v>93</v>
      </c>
      <c r="C252">
        <f>[3]HHS_Unaccompanied_Alien_Childre!C252</f>
        <v>198</v>
      </c>
      <c r="D252">
        <f>[2]HHS_Unaccompanied_Alien_Childre!D252</f>
        <v>208</v>
      </c>
      <c r="E252">
        <f>[2]HHS_Unaccompanied_Alien_Childre!E252</f>
        <v>8182</v>
      </c>
      <c r="F252">
        <f>[3]HHS_Unaccompanied_Alien_Childre!F252</f>
        <v>187</v>
      </c>
      <c r="G252">
        <f t="shared" si="22"/>
        <v>125</v>
      </c>
      <c r="H252" t="str">
        <f t="shared" si="23"/>
        <v>Increase</v>
      </c>
      <c r="I252">
        <f t="shared" si="21"/>
        <v>-115</v>
      </c>
      <c r="J252">
        <f t="shared" si="24"/>
        <v>8182</v>
      </c>
      <c r="K252">
        <f t="shared" si="25"/>
        <v>7974</v>
      </c>
      <c r="L252">
        <f t="shared" si="26"/>
        <v>9311</v>
      </c>
      <c r="M252">
        <f t="shared" si="27"/>
        <v>8015.5</v>
      </c>
    </row>
    <row r="253" spans="1:13" x14ac:dyDescent="0.3">
      <c r="A253" s="2">
        <f>[1]HHS_Unaccompanied_Alien_Childre!G253</f>
        <v>45322</v>
      </c>
      <c r="B253">
        <f>[2]HHS_Unaccompanied_Alien_Childre!B253</f>
        <v>203</v>
      </c>
      <c r="C253">
        <f>[3]HHS_Unaccompanied_Alien_Childre!C253</f>
        <v>477</v>
      </c>
      <c r="D253">
        <f>[2]HHS_Unaccompanied_Alien_Childre!D253</f>
        <v>258</v>
      </c>
      <c r="E253">
        <f>[2]HHS_Unaccompanied_Alien_Childre!E253</f>
        <v>8153</v>
      </c>
      <c r="F253">
        <f>[3]HHS_Unaccompanied_Alien_Childre!F253</f>
        <v>266</v>
      </c>
      <c r="G253">
        <f t="shared" si="22"/>
        <v>-29</v>
      </c>
      <c r="H253" t="str">
        <f t="shared" si="23"/>
        <v>Decrease</v>
      </c>
      <c r="I253">
        <f t="shared" si="21"/>
        <v>-55</v>
      </c>
      <c r="J253">
        <f t="shared" si="24"/>
        <v>8153</v>
      </c>
      <c r="K253">
        <f t="shared" si="25"/>
        <v>8008</v>
      </c>
      <c r="L253">
        <f t="shared" si="26"/>
        <v>9144</v>
      </c>
      <c r="M253">
        <f t="shared" si="27"/>
        <v>8095</v>
      </c>
    </row>
    <row r="254" spans="1:13" x14ac:dyDescent="0.3">
      <c r="A254" s="2">
        <f>[1]HHS_Unaccompanied_Alien_Childre!G254</f>
        <v>45323</v>
      </c>
      <c r="B254">
        <f>[2]HHS_Unaccompanied_Alien_Childre!B254</f>
        <v>222</v>
      </c>
      <c r="C254">
        <f>[3]HHS_Unaccompanied_Alien_Childre!C254</f>
        <v>459</v>
      </c>
      <c r="D254">
        <f>[2]HHS_Unaccompanied_Alien_Childre!D254</f>
        <v>289</v>
      </c>
      <c r="E254">
        <f>[2]HHS_Unaccompanied_Alien_Childre!E254</f>
        <v>8026</v>
      </c>
      <c r="F254">
        <f>[3]HHS_Unaccompanied_Alien_Childre!F254</f>
        <v>337</v>
      </c>
      <c r="G254">
        <f t="shared" si="22"/>
        <v>-127</v>
      </c>
      <c r="H254" t="str">
        <f t="shared" si="23"/>
        <v>Decrease</v>
      </c>
      <c r="I254">
        <f t="shared" si="21"/>
        <v>-67</v>
      </c>
      <c r="J254">
        <f t="shared" si="24"/>
        <v>8026</v>
      </c>
      <c r="K254">
        <f t="shared" si="25"/>
        <v>8133</v>
      </c>
      <c r="L254">
        <f t="shared" si="26"/>
        <v>8829</v>
      </c>
      <c r="M254">
        <f t="shared" si="27"/>
        <v>8143</v>
      </c>
    </row>
    <row r="255" spans="1:13" x14ac:dyDescent="0.3">
      <c r="A255" s="2">
        <f>[1]HHS_Unaccompanied_Alien_Childre!G255</f>
        <v>45326</v>
      </c>
      <c r="B255">
        <f>[2]HHS_Unaccompanied_Alien_Childre!B255</f>
        <v>253</v>
      </c>
      <c r="C255">
        <f>[3]HHS_Unaccompanied_Alien_Childre!C255</f>
        <v>531</v>
      </c>
      <c r="D255">
        <f>[2]HHS_Unaccompanied_Alien_Childre!D255</f>
        <v>248</v>
      </c>
      <c r="E255">
        <f>[2]HHS_Unaccompanied_Alien_Childre!E255</f>
        <v>7813</v>
      </c>
      <c r="F255">
        <f>[3]HHS_Unaccompanied_Alien_Childre!F255</f>
        <v>342</v>
      </c>
      <c r="G255">
        <f t="shared" si="22"/>
        <v>-213</v>
      </c>
      <c r="H255" t="str">
        <f t="shared" si="23"/>
        <v>Decrease</v>
      </c>
      <c r="I255">
        <f t="shared" si="21"/>
        <v>5</v>
      </c>
      <c r="J255">
        <f t="shared" si="24"/>
        <v>7813</v>
      </c>
      <c r="K255">
        <f t="shared" si="25"/>
        <v>8212</v>
      </c>
      <c r="L255">
        <f t="shared" si="26"/>
        <v>8033</v>
      </c>
      <c r="M255">
        <f t="shared" si="27"/>
        <v>8119</v>
      </c>
    </row>
    <row r="256" spans="1:13" x14ac:dyDescent="0.3">
      <c r="A256" s="2">
        <f>[1]HHS_Unaccompanied_Alien_Childre!G256</f>
        <v>45327</v>
      </c>
      <c r="B256">
        <f>[2]HHS_Unaccompanied_Alien_Childre!B256</f>
        <v>157</v>
      </c>
      <c r="C256">
        <f>[3]HHS_Unaccompanied_Alien_Childre!C256</f>
        <v>466</v>
      </c>
      <c r="D256">
        <f>[2]HHS_Unaccompanied_Alien_Childre!D256</f>
        <v>345</v>
      </c>
      <c r="E256">
        <f>[2]HHS_Unaccompanied_Alien_Childre!E256</f>
        <v>7872</v>
      </c>
      <c r="F256">
        <f>[3]HHS_Unaccompanied_Alien_Childre!F256</f>
        <v>242</v>
      </c>
      <c r="G256">
        <f t="shared" si="22"/>
        <v>59</v>
      </c>
      <c r="H256" t="str">
        <f t="shared" si="23"/>
        <v>Increase</v>
      </c>
      <c r="I256">
        <f t="shared" si="21"/>
        <v>-188</v>
      </c>
      <c r="J256">
        <f t="shared" si="24"/>
        <v>7872</v>
      </c>
      <c r="K256">
        <f t="shared" si="25"/>
        <v>8180</v>
      </c>
      <c r="L256">
        <f t="shared" si="26"/>
        <v>8133</v>
      </c>
      <c r="M256">
        <f t="shared" si="27"/>
        <v>7996.5</v>
      </c>
    </row>
    <row r="257" spans="1:13" x14ac:dyDescent="0.3">
      <c r="A257" s="2">
        <f>[1]HHS_Unaccompanied_Alien_Childre!G257</f>
        <v>45328</v>
      </c>
      <c r="B257">
        <f>[2]HHS_Unaccompanied_Alien_Childre!B257</f>
        <v>291</v>
      </c>
      <c r="C257">
        <f>[3]HHS_Unaccompanied_Alien_Childre!C257</f>
        <v>455</v>
      </c>
      <c r="D257">
        <f>[2]HHS_Unaccompanied_Alien_Childre!D257</f>
        <v>323</v>
      </c>
      <c r="E257">
        <f>[2]HHS_Unaccompanied_Alien_Childre!E257</f>
        <v>8045</v>
      </c>
      <c r="F257">
        <f>[3]HHS_Unaccompanied_Alien_Childre!F257</f>
        <v>178</v>
      </c>
      <c r="G257">
        <f t="shared" si="22"/>
        <v>173</v>
      </c>
      <c r="H257" t="str">
        <f t="shared" si="23"/>
        <v>Increase</v>
      </c>
      <c r="I257">
        <f t="shared" si="21"/>
        <v>-32</v>
      </c>
      <c r="J257">
        <f t="shared" si="24"/>
        <v>8045</v>
      </c>
      <c r="K257">
        <f t="shared" si="25"/>
        <v>8004</v>
      </c>
      <c r="L257">
        <f t="shared" si="26"/>
        <v>8072</v>
      </c>
      <c r="M257">
        <f t="shared" si="27"/>
        <v>7938</v>
      </c>
    </row>
    <row r="258" spans="1:13" x14ac:dyDescent="0.3">
      <c r="A258" s="2">
        <f>[1]HHS_Unaccompanied_Alien_Childre!G258</f>
        <v>45329</v>
      </c>
      <c r="B258">
        <f>[2]HHS_Unaccompanied_Alien_Childre!B258</f>
        <v>227</v>
      </c>
      <c r="C258">
        <f>[3]HHS_Unaccompanied_Alien_Childre!C258</f>
        <v>453</v>
      </c>
      <c r="D258">
        <f>[2]HHS_Unaccompanied_Alien_Childre!D258</f>
        <v>330</v>
      </c>
      <c r="E258">
        <f>[2]HHS_Unaccompanied_Alien_Childre!E258</f>
        <v>8160</v>
      </c>
      <c r="F258">
        <f>[3]HHS_Unaccompanied_Alien_Childre!F258</f>
        <v>222</v>
      </c>
      <c r="G258">
        <f t="shared" si="22"/>
        <v>115</v>
      </c>
      <c r="H258" t="str">
        <f t="shared" si="23"/>
        <v>Increase</v>
      </c>
      <c r="I258">
        <f t="shared" si="21"/>
        <v>-103</v>
      </c>
      <c r="J258">
        <f t="shared" si="24"/>
        <v>8160</v>
      </c>
      <c r="K258">
        <f t="shared" si="25"/>
        <v>8057</v>
      </c>
      <c r="L258">
        <f t="shared" si="26"/>
        <v>8042</v>
      </c>
      <c r="M258">
        <f t="shared" si="27"/>
        <v>8051</v>
      </c>
    </row>
    <row r="259" spans="1:13" x14ac:dyDescent="0.3">
      <c r="A259" s="2">
        <f>[1]HHS_Unaccompanied_Alien_Childre!G259</f>
        <v>45330</v>
      </c>
      <c r="B259">
        <f>[2]HHS_Unaccompanied_Alien_Childre!B259</f>
        <v>298</v>
      </c>
      <c r="C259">
        <f>[3]HHS_Unaccompanied_Alien_Childre!C259</f>
        <v>499</v>
      </c>
      <c r="D259">
        <f>[2]HHS_Unaccompanied_Alien_Childre!D259</f>
        <v>358</v>
      </c>
      <c r="E259">
        <f>[2]HHS_Unaccompanied_Alien_Childre!E259</f>
        <v>8188</v>
      </c>
      <c r="F259">
        <f>[3]HHS_Unaccompanied_Alien_Childre!F259</f>
        <v>315</v>
      </c>
      <c r="G259">
        <f t="shared" si="22"/>
        <v>28</v>
      </c>
      <c r="H259" t="str">
        <f t="shared" si="23"/>
        <v>Increase</v>
      </c>
      <c r="I259">
        <f t="shared" ref="I259:I322" si="28">B259-D259</f>
        <v>-60</v>
      </c>
      <c r="J259">
        <f t="shared" si="24"/>
        <v>8188</v>
      </c>
      <c r="K259">
        <f t="shared" si="25"/>
        <v>8182</v>
      </c>
      <c r="L259">
        <f t="shared" si="26"/>
        <v>7974</v>
      </c>
      <c r="M259">
        <f t="shared" si="27"/>
        <v>8171</v>
      </c>
    </row>
    <row r="260" spans="1:13" x14ac:dyDescent="0.3">
      <c r="A260" s="2">
        <f>[1]HHS_Unaccompanied_Alien_Childre!G260</f>
        <v>45333</v>
      </c>
      <c r="B260">
        <f>[2]HHS_Unaccompanied_Alien_Childre!B260</f>
        <v>205</v>
      </c>
      <c r="C260">
        <f>[3]HHS_Unaccompanied_Alien_Childre!C260</f>
        <v>515</v>
      </c>
      <c r="D260">
        <f>[2]HHS_Unaccompanied_Alien_Childre!D260</f>
        <v>226</v>
      </c>
      <c r="E260">
        <f>[2]HHS_Unaccompanied_Alien_Childre!E260</f>
        <v>8056</v>
      </c>
      <c r="F260">
        <f>[3]HHS_Unaccompanied_Alien_Childre!F260</f>
        <v>347</v>
      </c>
      <c r="G260">
        <f t="shared" ref="G260:G323" si="29">E260-E259</f>
        <v>-132</v>
      </c>
      <c r="H260" t="str">
        <f t="shared" ref="H260:H323" si="30">IF(G260&gt;0,"Increase",IF(G260&lt;0,"Decrease","No Change"))</f>
        <v>Decrease</v>
      </c>
      <c r="I260">
        <f t="shared" si="28"/>
        <v>-21</v>
      </c>
      <c r="J260">
        <f t="shared" si="24"/>
        <v>8056</v>
      </c>
      <c r="K260">
        <f t="shared" si="25"/>
        <v>8153</v>
      </c>
      <c r="L260">
        <f t="shared" si="26"/>
        <v>8008</v>
      </c>
      <c r="M260">
        <f t="shared" si="27"/>
        <v>8170.5</v>
      </c>
    </row>
    <row r="261" spans="1:13" x14ac:dyDescent="0.3">
      <c r="A261" s="2">
        <f>[1]HHS_Unaccompanied_Alien_Childre!G261</f>
        <v>45334</v>
      </c>
      <c r="B261">
        <f>[2]HHS_Unaccompanied_Alien_Childre!B261</f>
        <v>213</v>
      </c>
      <c r="C261">
        <f>[3]HHS_Unaccompanied_Alien_Childre!C261</f>
        <v>430</v>
      </c>
      <c r="D261">
        <f>[2]HHS_Unaccompanied_Alien_Childre!D261</f>
        <v>440</v>
      </c>
      <c r="E261">
        <f>[2]HHS_Unaccompanied_Alien_Childre!E261</f>
        <v>8092</v>
      </c>
      <c r="F261">
        <f>[3]HHS_Unaccompanied_Alien_Childre!F261</f>
        <v>234</v>
      </c>
      <c r="G261">
        <f t="shared" si="29"/>
        <v>36</v>
      </c>
      <c r="H261" t="str">
        <f t="shared" si="30"/>
        <v>Increase</v>
      </c>
      <c r="I261">
        <f t="shared" si="28"/>
        <v>-227</v>
      </c>
      <c r="J261">
        <f t="shared" si="24"/>
        <v>8092</v>
      </c>
      <c r="K261">
        <f t="shared" si="25"/>
        <v>8026</v>
      </c>
      <c r="L261">
        <f t="shared" si="26"/>
        <v>8133</v>
      </c>
      <c r="M261">
        <f t="shared" si="27"/>
        <v>8041</v>
      </c>
    </row>
    <row r="262" spans="1:13" x14ac:dyDescent="0.3">
      <c r="A262" s="2">
        <f>[1]HHS_Unaccompanied_Alien_Childre!G262</f>
        <v>45335</v>
      </c>
      <c r="B262">
        <f>[2]HHS_Unaccompanied_Alien_Childre!B262</f>
        <v>227</v>
      </c>
      <c r="C262">
        <f>[3]HHS_Unaccompanied_Alien_Childre!C262</f>
        <v>369</v>
      </c>
      <c r="D262">
        <f>[2]HHS_Unaccompanied_Alien_Childre!D262</f>
        <v>349</v>
      </c>
      <c r="E262">
        <f>[2]HHS_Unaccompanied_Alien_Childre!E262</f>
        <v>8348</v>
      </c>
      <c r="F262">
        <f>[3]HHS_Unaccompanied_Alien_Childre!F262</f>
        <v>160</v>
      </c>
      <c r="G262">
        <f t="shared" si="29"/>
        <v>256</v>
      </c>
      <c r="H262" t="str">
        <f t="shared" si="30"/>
        <v>Increase</v>
      </c>
      <c r="I262">
        <f t="shared" si="28"/>
        <v>-122</v>
      </c>
      <c r="J262">
        <f t="shared" si="24"/>
        <v>8348</v>
      </c>
      <c r="K262">
        <f t="shared" si="25"/>
        <v>7813</v>
      </c>
      <c r="L262">
        <f t="shared" si="26"/>
        <v>8212</v>
      </c>
      <c r="M262">
        <f t="shared" si="27"/>
        <v>7952.5</v>
      </c>
    </row>
    <row r="263" spans="1:13" x14ac:dyDescent="0.3">
      <c r="A263" s="2">
        <f>[1]HHS_Unaccompanied_Alien_Childre!G263</f>
        <v>45336</v>
      </c>
      <c r="B263">
        <f>[2]HHS_Unaccompanied_Alien_Childre!B263</f>
        <v>185</v>
      </c>
      <c r="C263">
        <f>[3]HHS_Unaccompanied_Alien_Childre!C263</f>
        <v>322</v>
      </c>
      <c r="D263">
        <f>[2]HHS_Unaccompanied_Alien_Childre!D263</f>
        <v>272</v>
      </c>
      <c r="E263">
        <f>[2]HHS_Unaccompanied_Alien_Childre!E263</f>
        <v>8512</v>
      </c>
      <c r="F263">
        <f>[3]HHS_Unaccompanied_Alien_Childre!F263</f>
        <v>230</v>
      </c>
      <c r="G263">
        <f t="shared" si="29"/>
        <v>164</v>
      </c>
      <c r="H263" t="str">
        <f t="shared" si="30"/>
        <v>Increase</v>
      </c>
      <c r="I263">
        <f t="shared" si="28"/>
        <v>-87</v>
      </c>
      <c r="J263">
        <f t="shared" si="24"/>
        <v>8512</v>
      </c>
      <c r="K263">
        <f t="shared" si="25"/>
        <v>7872</v>
      </c>
      <c r="L263">
        <f t="shared" si="26"/>
        <v>8180</v>
      </c>
      <c r="M263">
        <f t="shared" si="27"/>
        <v>8110</v>
      </c>
    </row>
    <row r="264" spans="1:13" x14ac:dyDescent="0.3">
      <c r="A264" s="2">
        <f>[1]HHS_Unaccompanied_Alien_Childre!G264</f>
        <v>45337</v>
      </c>
      <c r="B264">
        <f>[2]HHS_Unaccompanied_Alien_Childre!B264</f>
        <v>333</v>
      </c>
      <c r="C264">
        <f>[3]HHS_Unaccompanied_Alien_Childre!C264</f>
        <v>508</v>
      </c>
      <c r="D264">
        <f>[2]HHS_Unaccompanied_Alien_Childre!D264</f>
        <v>272</v>
      </c>
      <c r="E264">
        <f>[2]HHS_Unaccompanied_Alien_Childre!E264</f>
        <v>8463</v>
      </c>
      <c r="F264">
        <f>[3]HHS_Unaccompanied_Alien_Childre!F264</f>
        <v>312</v>
      </c>
      <c r="G264">
        <f t="shared" si="29"/>
        <v>-49</v>
      </c>
      <c r="H264" t="str">
        <f t="shared" si="30"/>
        <v>Decrease</v>
      </c>
      <c r="I264">
        <f t="shared" si="28"/>
        <v>61</v>
      </c>
      <c r="J264">
        <f t="shared" si="24"/>
        <v>8463</v>
      </c>
      <c r="K264">
        <f t="shared" si="25"/>
        <v>8045</v>
      </c>
      <c r="L264">
        <f t="shared" si="26"/>
        <v>8004</v>
      </c>
      <c r="M264">
        <f t="shared" si="27"/>
        <v>8278.5</v>
      </c>
    </row>
    <row r="265" spans="1:13" x14ac:dyDescent="0.3">
      <c r="A265" s="2">
        <f>[1]HHS_Unaccompanied_Alien_Childre!G265</f>
        <v>45341</v>
      </c>
      <c r="B265">
        <f>[2]HHS_Unaccompanied_Alien_Childre!B265</f>
        <v>249</v>
      </c>
      <c r="C265">
        <f>[3]HHS_Unaccompanied_Alien_Childre!C265</f>
        <v>420</v>
      </c>
      <c r="D265">
        <f>[2]HHS_Unaccompanied_Alien_Childre!D265</f>
        <v>371</v>
      </c>
      <c r="E265">
        <f>[2]HHS_Unaccompanied_Alien_Childre!E265</f>
        <v>8380</v>
      </c>
      <c r="F265">
        <f>[3]HHS_Unaccompanied_Alien_Childre!F265</f>
        <v>218</v>
      </c>
      <c r="G265">
        <f t="shared" si="29"/>
        <v>-83</v>
      </c>
      <c r="H265" t="str">
        <f t="shared" si="30"/>
        <v>Decrease</v>
      </c>
      <c r="I265">
        <f t="shared" si="28"/>
        <v>-122</v>
      </c>
      <c r="J265">
        <f t="shared" si="24"/>
        <v>8380</v>
      </c>
      <c r="K265">
        <f t="shared" si="25"/>
        <v>8160</v>
      </c>
      <c r="L265">
        <f t="shared" si="26"/>
        <v>8057</v>
      </c>
      <c r="M265">
        <f t="shared" si="27"/>
        <v>8311.5</v>
      </c>
    </row>
    <row r="266" spans="1:13" x14ac:dyDescent="0.3">
      <c r="A266" s="2">
        <f>[1]HHS_Unaccompanied_Alien_Childre!G266</f>
        <v>45342</v>
      </c>
      <c r="B266">
        <f>[2]HHS_Unaccompanied_Alien_Childre!B266</f>
        <v>149</v>
      </c>
      <c r="C266">
        <f>[3]HHS_Unaccompanied_Alien_Childre!C266</f>
        <v>395</v>
      </c>
      <c r="D266">
        <f>[2]HHS_Unaccompanied_Alien_Childre!D266</f>
        <v>273</v>
      </c>
      <c r="E266">
        <f>[2]HHS_Unaccompanied_Alien_Childre!E266</f>
        <v>8488</v>
      </c>
      <c r="F266">
        <f>[3]HHS_Unaccompanied_Alien_Childre!F266</f>
        <v>192</v>
      </c>
      <c r="G266">
        <f t="shared" si="29"/>
        <v>108</v>
      </c>
      <c r="H266" t="str">
        <f t="shared" si="30"/>
        <v>Increase</v>
      </c>
      <c r="I266">
        <f t="shared" si="28"/>
        <v>-124</v>
      </c>
      <c r="J266">
        <f t="shared" si="24"/>
        <v>8488</v>
      </c>
      <c r="K266">
        <f t="shared" si="25"/>
        <v>8188</v>
      </c>
      <c r="L266">
        <f t="shared" si="26"/>
        <v>8182</v>
      </c>
      <c r="M266">
        <f t="shared" si="27"/>
        <v>8284</v>
      </c>
    </row>
    <row r="267" spans="1:13" x14ac:dyDescent="0.3">
      <c r="A267" s="2">
        <f>[1]HHS_Unaccompanied_Alien_Childre!G267</f>
        <v>45343</v>
      </c>
      <c r="B267">
        <f>[2]HHS_Unaccompanied_Alien_Childre!B267</f>
        <v>232</v>
      </c>
      <c r="C267">
        <f>[3]HHS_Unaccompanied_Alien_Childre!C267</f>
        <v>430</v>
      </c>
      <c r="D267">
        <f>[2]HHS_Unaccompanied_Alien_Childre!D267</f>
        <v>318</v>
      </c>
      <c r="E267">
        <f>[2]HHS_Unaccompanied_Alien_Childre!E267</f>
        <v>8573</v>
      </c>
      <c r="F267">
        <f>[3]HHS_Unaccompanied_Alien_Childre!F267</f>
        <v>231</v>
      </c>
      <c r="G267">
        <f t="shared" si="29"/>
        <v>85</v>
      </c>
      <c r="H267" t="str">
        <f t="shared" si="30"/>
        <v>Increase</v>
      </c>
      <c r="I267">
        <f t="shared" si="28"/>
        <v>-86</v>
      </c>
      <c r="J267">
        <f t="shared" si="24"/>
        <v>8573</v>
      </c>
      <c r="K267">
        <f t="shared" si="25"/>
        <v>8056</v>
      </c>
      <c r="L267">
        <f t="shared" si="26"/>
        <v>8153</v>
      </c>
      <c r="M267">
        <f t="shared" si="27"/>
        <v>8272</v>
      </c>
    </row>
    <row r="268" spans="1:13" x14ac:dyDescent="0.3">
      <c r="A268" s="2">
        <f>[1]HHS_Unaccompanied_Alien_Childre!G268</f>
        <v>45344</v>
      </c>
      <c r="B268">
        <f>[2]HHS_Unaccompanied_Alien_Childre!B268</f>
        <v>165</v>
      </c>
      <c r="C268">
        <f>[3]HHS_Unaccompanied_Alien_Childre!C268</f>
        <v>400</v>
      </c>
      <c r="D268">
        <f>[2]HHS_Unaccompanied_Alien_Childre!D268</f>
        <v>292</v>
      </c>
      <c r="E268">
        <f>[2]HHS_Unaccompanied_Alien_Childre!E268</f>
        <v>8607</v>
      </c>
      <c r="F268">
        <f>[3]HHS_Unaccompanied_Alien_Childre!F268</f>
        <v>293</v>
      </c>
      <c r="G268">
        <f t="shared" si="29"/>
        <v>34</v>
      </c>
      <c r="H268" t="str">
        <f t="shared" si="30"/>
        <v>Increase</v>
      </c>
      <c r="I268">
        <f t="shared" si="28"/>
        <v>-127</v>
      </c>
      <c r="J268">
        <f t="shared" si="24"/>
        <v>8607</v>
      </c>
      <c r="K268">
        <f t="shared" si="25"/>
        <v>8092</v>
      </c>
      <c r="L268">
        <f t="shared" si="26"/>
        <v>8026</v>
      </c>
      <c r="M268">
        <f t="shared" si="27"/>
        <v>8332.5</v>
      </c>
    </row>
    <row r="269" spans="1:13" x14ac:dyDescent="0.3">
      <c r="A269" s="2">
        <f>[1]HHS_Unaccompanied_Alien_Childre!G269</f>
        <v>45347</v>
      </c>
      <c r="B269">
        <f>[2]HHS_Unaccompanied_Alien_Childre!B269</f>
        <v>244</v>
      </c>
      <c r="C269">
        <f>[3]HHS_Unaccompanied_Alien_Childre!C269</f>
        <v>482</v>
      </c>
      <c r="D269">
        <f>[2]HHS_Unaccompanied_Alien_Childre!D269</f>
        <v>366</v>
      </c>
      <c r="E269">
        <f>[2]HHS_Unaccompanied_Alien_Childre!E269</f>
        <v>8404</v>
      </c>
      <c r="F269">
        <f>[3]HHS_Unaccompanied_Alien_Childre!F269</f>
        <v>329</v>
      </c>
      <c r="G269">
        <f t="shared" si="29"/>
        <v>-203</v>
      </c>
      <c r="H269" t="str">
        <f t="shared" si="30"/>
        <v>Decrease</v>
      </c>
      <c r="I269">
        <f t="shared" si="28"/>
        <v>-122</v>
      </c>
      <c r="J269">
        <f t="shared" si="24"/>
        <v>8404</v>
      </c>
      <c r="K269">
        <f t="shared" si="25"/>
        <v>8348</v>
      </c>
      <c r="L269">
        <f t="shared" si="26"/>
        <v>7813</v>
      </c>
      <c r="M269">
        <f t="shared" si="27"/>
        <v>8477.5</v>
      </c>
    </row>
    <row r="270" spans="1:13" x14ac:dyDescent="0.3">
      <c r="A270" s="2">
        <f>[1]HHS_Unaccompanied_Alien_Childre!G270</f>
        <v>45348</v>
      </c>
      <c r="B270">
        <f>[2]HHS_Unaccompanied_Alien_Childre!B270</f>
        <v>199</v>
      </c>
      <c r="C270">
        <f>[3]HHS_Unaccompanied_Alien_Childre!C270</f>
        <v>438</v>
      </c>
      <c r="D270">
        <f>[2]HHS_Unaccompanied_Alien_Childre!D270</f>
        <v>326</v>
      </c>
      <c r="E270">
        <f>[2]HHS_Unaccompanied_Alien_Childre!E270</f>
        <v>8404</v>
      </c>
      <c r="F270">
        <f>[3]HHS_Unaccompanied_Alien_Childre!F270</f>
        <v>329</v>
      </c>
      <c r="G270">
        <f t="shared" si="29"/>
        <v>0</v>
      </c>
      <c r="H270" t="str">
        <f t="shared" si="30"/>
        <v>No Change</v>
      </c>
      <c r="I270">
        <f t="shared" si="28"/>
        <v>-127</v>
      </c>
      <c r="J270">
        <f t="shared" si="24"/>
        <v>8404</v>
      </c>
      <c r="K270">
        <f t="shared" si="25"/>
        <v>8512</v>
      </c>
      <c r="L270">
        <f t="shared" si="26"/>
        <v>7872</v>
      </c>
      <c r="M270">
        <f t="shared" si="27"/>
        <v>8458</v>
      </c>
    </row>
    <row r="271" spans="1:13" x14ac:dyDescent="0.3">
      <c r="A271" s="2">
        <f>[1]HHS_Unaccompanied_Alien_Childre!G271</f>
        <v>45349</v>
      </c>
      <c r="B271">
        <f>[2]HHS_Unaccompanied_Alien_Childre!B271</f>
        <v>197</v>
      </c>
      <c r="C271">
        <f>[3]HHS_Unaccompanied_Alien_Childre!C271</f>
        <v>369</v>
      </c>
      <c r="D271">
        <f>[2]HHS_Unaccompanied_Alien_Childre!D271</f>
        <v>306</v>
      </c>
      <c r="E271">
        <f>[2]HHS_Unaccompanied_Alien_Childre!E271</f>
        <v>8650</v>
      </c>
      <c r="F271">
        <f>[3]HHS_Unaccompanied_Alien_Childre!F271</f>
        <v>206</v>
      </c>
      <c r="G271">
        <f t="shared" si="29"/>
        <v>246</v>
      </c>
      <c r="H271" t="str">
        <f t="shared" si="30"/>
        <v>Increase</v>
      </c>
      <c r="I271">
        <f t="shared" si="28"/>
        <v>-109</v>
      </c>
      <c r="J271">
        <f t="shared" si="24"/>
        <v>8650</v>
      </c>
      <c r="K271">
        <f t="shared" si="25"/>
        <v>8463</v>
      </c>
      <c r="L271">
        <f t="shared" si="26"/>
        <v>8045</v>
      </c>
      <c r="M271">
        <f t="shared" si="27"/>
        <v>8433.5</v>
      </c>
    </row>
    <row r="272" spans="1:13" x14ac:dyDescent="0.3">
      <c r="A272" s="2">
        <f>[1]HHS_Unaccompanied_Alien_Childre!G272</f>
        <v>45350</v>
      </c>
      <c r="B272">
        <f>[2]HHS_Unaccompanied_Alien_Childre!B272</f>
        <v>209</v>
      </c>
      <c r="C272">
        <f>[3]HHS_Unaccompanied_Alien_Childre!C272</f>
        <v>447</v>
      </c>
      <c r="D272">
        <f>[2]HHS_Unaccompanied_Alien_Childre!D272</f>
        <v>274</v>
      </c>
      <c r="E272">
        <f>[2]HHS_Unaccompanied_Alien_Childre!E272</f>
        <v>8699</v>
      </c>
      <c r="F272">
        <f>[3]HHS_Unaccompanied_Alien_Childre!F272</f>
        <v>257</v>
      </c>
      <c r="G272">
        <f t="shared" si="29"/>
        <v>49</v>
      </c>
      <c r="H272" t="str">
        <f t="shared" si="30"/>
        <v>Increase</v>
      </c>
      <c r="I272">
        <f t="shared" si="28"/>
        <v>-65</v>
      </c>
      <c r="J272">
        <f t="shared" si="24"/>
        <v>8699</v>
      </c>
      <c r="K272">
        <f t="shared" si="25"/>
        <v>8380</v>
      </c>
      <c r="L272">
        <f t="shared" si="26"/>
        <v>8160</v>
      </c>
      <c r="M272">
        <f t="shared" si="27"/>
        <v>8515</v>
      </c>
    </row>
    <row r="273" spans="1:13" x14ac:dyDescent="0.3">
      <c r="A273" s="2">
        <f>[1]HHS_Unaccompanied_Alien_Childre!G273</f>
        <v>45351</v>
      </c>
      <c r="B273">
        <f>[2]HHS_Unaccompanied_Alien_Childre!B273</f>
        <v>262</v>
      </c>
      <c r="C273">
        <f>[3]HHS_Unaccompanied_Alien_Childre!C273</f>
        <v>444</v>
      </c>
      <c r="D273">
        <f>[2]HHS_Unaccompanied_Alien_Childre!D273</f>
        <v>354</v>
      </c>
      <c r="E273">
        <f>[2]HHS_Unaccompanied_Alien_Childre!E273</f>
        <v>8724</v>
      </c>
      <c r="F273">
        <f>[3]HHS_Unaccompanied_Alien_Childre!F273</f>
        <v>299</v>
      </c>
      <c r="G273">
        <f t="shared" si="29"/>
        <v>25</v>
      </c>
      <c r="H273" t="str">
        <f t="shared" si="30"/>
        <v>Increase</v>
      </c>
      <c r="I273">
        <f t="shared" si="28"/>
        <v>-92</v>
      </c>
      <c r="J273">
        <f t="shared" ref="J273:J336" si="31">E273</f>
        <v>8724</v>
      </c>
      <c r="K273">
        <f t="shared" ref="K273:K336" si="32">E266</f>
        <v>8488</v>
      </c>
      <c r="L273">
        <f t="shared" ref="L273:L336" si="33">E259</f>
        <v>8188</v>
      </c>
      <c r="M273">
        <f t="shared" ref="M273:M336" si="34">AVERAGE(E266,E272)</f>
        <v>8593.5</v>
      </c>
    </row>
    <row r="274" spans="1:13" x14ac:dyDescent="0.3">
      <c r="A274" s="2">
        <f>[1]HHS_Unaccompanied_Alien_Childre!G274</f>
        <v>45354</v>
      </c>
      <c r="B274">
        <f>[2]HHS_Unaccompanied_Alien_Childre!B274</f>
        <v>236</v>
      </c>
      <c r="C274">
        <f>[3]HHS_Unaccompanied_Alien_Childre!C274</f>
        <v>468</v>
      </c>
      <c r="D274">
        <f>[2]HHS_Unaccompanied_Alien_Childre!D274</f>
        <v>347</v>
      </c>
      <c r="E274">
        <f>[2]HHS_Unaccompanied_Alien_Childre!E274</f>
        <v>8594</v>
      </c>
      <c r="F274">
        <f>[3]HHS_Unaccompanied_Alien_Childre!F274</f>
        <v>354</v>
      </c>
      <c r="G274">
        <f t="shared" si="29"/>
        <v>-130</v>
      </c>
      <c r="H274" t="str">
        <f t="shared" si="30"/>
        <v>Decrease</v>
      </c>
      <c r="I274">
        <f t="shared" si="28"/>
        <v>-111</v>
      </c>
      <c r="J274">
        <f t="shared" si="31"/>
        <v>8594</v>
      </c>
      <c r="K274">
        <f t="shared" si="32"/>
        <v>8573</v>
      </c>
      <c r="L274">
        <f t="shared" si="33"/>
        <v>8056</v>
      </c>
      <c r="M274">
        <f t="shared" si="34"/>
        <v>8648.5</v>
      </c>
    </row>
    <row r="275" spans="1:13" x14ac:dyDescent="0.3">
      <c r="A275" s="2">
        <f>[1]HHS_Unaccompanied_Alien_Childre!G275</f>
        <v>45355</v>
      </c>
      <c r="B275">
        <f>[2]HHS_Unaccompanied_Alien_Childre!B275</f>
        <v>225</v>
      </c>
      <c r="C275">
        <f>[3]HHS_Unaccompanied_Alien_Childre!C275</f>
        <v>509</v>
      </c>
      <c r="D275">
        <f>[2]HHS_Unaccompanied_Alien_Childre!D275</f>
        <v>340</v>
      </c>
      <c r="E275">
        <f>[2]HHS_Unaccompanied_Alien_Childre!E275</f>
        <v>8660</v>
      </c>
      <c r="F275">
        <f>[3]HHS_Unaccompanied_Alien_Childre!F275</f>
        <v>229</v>
      </c>
      <c r="G275">
        <f t="shared" si="29"/>
        <v>66</v>
      </c>
      <c r="H275" t="str">
        <f t="shared" si="30"/>
        <v>Increase</v>
      </c>
      <c r="I275">
        <f t="shared" si="28"/>
        <v>-115</v>
      </c>
      <c r="J275">
        <f t="shared" si="31"/>
        <v>8660</v>
      </c>
      <c r="K275">
        <f t="shared" si="32"/>
        <v>8607</v>
      </c>
      <c r="L275">
        <f t="shared" si="33"/>
        <v>8092</v>
      </c>
      <c r="M275">
        <f t="shared" si="34"/>
        <v>8600.5</v>
      </c>
    </row>
    <row r="276" spans="1:13" x14ac:dyDescent="0.3">
      <c r="A276" s="2">
        <f>[1]HHS_Unaccompanied_Alien_Childre!G276</f>
        <v>45356</v>
      </c>
      <c r="B276">
        <f>[2]HHS_Unaccompanied_Alien_Childre!B276</f>
        <v>246</v>
      </c>
      <c r="C276">
        <f>[3]HHS_Unaccompanied_Alien_Childre!C276</f>
        <v>472</v>
      </c>
      <c r="D276">
        <f>[2]HHS_Unaccompanied_Alien_Childre!D276</f>
        <v>345</v>
      </c>
      <c r="E276">
        <f>[2]HHS_Unaccompanied_Alien_Childre!E276</f>
        <v>8800</v>
      </c>
      <c r="F276">
        <f>[3]HHS_Unaccompanied_Alien_Childre!F276</f>
        <v>214</v>
      </c>
      <c r="G276">
        <f t="shared" si="29"/>
        <v>140</v>
      </c>
      <c r="H276" t="str">
        <f t="shared" si="30"/>
        <v>Increase</v>
      </c>
      <c r="I276">
        <f t="shared" si="28"/>
        <v>-99</v>
      </c>
      <c r="J276">
        <f t="shared" si="31"/>
        <v>8800</v>
      </c>
      <c r="K276">
        <f t="shared" si="32"/>
        <v>8404</v>
      </c>
      <c r="L276">
        <f t="shared" si="33"/>
        <v>8348</v>
      </c>
      <c r="M276">
        <f t="shared" si="34"/>
        <v>8532</v>
      </c>
    </row>
    <row r="277" spans="1:13" x14ac:dyDescent="0.3">
      <c r="A277" s="2">
        <f>[1]HHS_Unaccompanied_Alien_Childre!G277</f>
        <v>45357</v>
      </c>
      <c r="B277">
        <f>[2]HHS_Unaccompanied_Alien_Childre!B277</f>
        <v>230</v>
      </c>
      <c r="C277">
        <f>[3]HHS_Unaccompanied_Alien_Childre!C277</f>
        <v>457</v>
      </c>
      <c r="D277">
        <f>[2]HHS_Unaccompanied_Alien_Childre!D277</f>
        <v>277</v>
      </c>
      <c r="E277">
        <f>[2]HHS_Unaccompanied_Alien_Childre!E277</f>
        <v>8870</v>
      </c>
      <c r="F277">
        <f>[3]HHS_Unaccompanied_Alien_Childre!F277</f>
        <v>232</v>
      </c>
      <c r="G277">
        <f t="shared" si="29"/>
        <v>70</v>
      </c>
      <c r="H277" t="str">
        <f t="shared" si="30"/>
        <v>Increase</v>
      </c>
      <c r="I277">
        <f t="shared" si="28"/>
        <v>-47</v>
      </c>
      <c r="J277">
        <f t="shared" si="31"/>
        <v>8870</v>
      </c>
      <c r="K277">
        <f t="shared" si="32"/>
        <v>8404</v>
      </c>
      <c r="L277">
        <f t="shared" si="33"/>
        <v>8512</v>
      </c>
      <c r="M277">
        <f t="shared" si="34"/>
        <v>8602</v>
      </c>
    </row>
    <row r="278" spans="1:13" x14ac:dyDescent="0.3">
      <c r="A278" s="2">
        <f>[1]HHS_Unaccompanied_Alien_Childre!G278</f>
        <v>45358</v>
      </c>
      <c r="B278">
        <f>[2]HHS_Unaccompanied_Alien_Childre!B278</f>
        <v>181</v>
      </c>
      <c r="C278">
        <f>[3]HHS_Unaccompanied_Alien_Childre!C278</f>
        <v>424</v>
      </c>
      <c r="D278">
        <f>[2]HHS_Unaccompanied_Alien_Childre!D278</f>
        <v>328</v>
      </c>
      <c r="E278">
        <f>[2]HHS_Unaccompanied_Alien_Childre!E278</f>
        <v>8902</v>
      </c>
      <c r="F278">
        <f>[3]HHS_Unaccompanied_Alien_Childre!F278</f>
        <v>305</v>
      </c>
      <c r="G278">
        <f t="shared" si="29"/>
        <v>32</v>
      </c>
      <c r="H278" t="str">
        <f t="shared" si="30"/>
        <v>Increase</v>
      </c>
      <c r="I278">
        <f t="shared" si="28"/>
        <v>-147</v>
      </c>
      <c r="J278">
        <f t="shared" si="31"/>
        <v>8902</v>
      </c>
      <c r="K278">
        <f t="shared" si="32"/>
        <v>8650</v>
      </c>
      <c r="L278">
        <f t="shared" si="33"/>
        <v>8463</v>
      </c>
      <c r="M278">
        <f t="shared" si="34"/>
        <v>8760</v>
      </c>
    </row>
    <row r="279" spans="1:13" x14ac:dyDescent="0.3">
      <c r="A279" s="2">
        <f>[1]HHS_Unaccompanied_Alien_Childre!G279</f>
        <v>45361</v>
      </c>
      <c r="B279">
        <f>[2]HHS_Unaccompanied_Alien_Childre!B279</f>
        <v>190</v>
      </c>
      <c r="C279">
        <f>[3]HHS_Unaccompanied_Alien_Childre!C279</f>
        <v>368</v>
      </c>
      <c r="D279">
        <f>[2]HHS_Unaccompanied_Alien_Childre!D279</f>
        <v>326</v>
      </c>
      <c r="E279">
        <f>[2]HHS_Unaccompanied_Alien_Childre!E279</f>
        <v>8714</v>
      </c>
      <c r="F279">
        <f>[3]HHS_Unaccompanied_Alien_Childre!F279</f>
        <v>373</v>
      </c>
      <c r="G279">
        <f t="shared" si="29"/>
        <v>-188</v>
      </c>
      <c r="H279" t="str">
        <f t="shared" si="30"/>
        <v>Decrease</v>
      </c>
      <c r="I279">
        <f t="shared" si="28"/>
        <v>-136</v>
      </c>
      <c r="J279">
        <f t="shared" si="31"/>
        <v>8714</v>
      </c>
      <c r="K279">
        <f t="shared" si="32"/>
        <v>8699</v>
      </c>
      <c r="L279">
        <f t="shared" si="33"/>
        <v>8380</v>
      </c>
      <c r="M279">
        <f t="shared" si="34"/>
        <v>8800.5</v>
      </c>
    </row>
    <row r="280" spans="1:13" x14ac:dyDescent="0.3">
      <c r="A280" s="2">
        <f>[1]HHS_Unaccompanied_Alien_Childre!G280</f>
        <v>45362</v>
      </c>
      <c r="B280">
        <f>[2]HHS_Unaccompanied_Alien_Childre!B280</f>
        <v>178</v>
      </c>
      <c r="C280">
        <f>[3]HHS_Unaccompanied_Alien_Childre!C280</f>
        <v>336</v>
      </c>
      <c r="D280">
        <f>[2]HHS_Unaccompanied_Alien_Childre!D280</f>
        <v>290</v>
      </c>
      <c r="E280">
        <f>[2]HHS_Unaccompanied_Alien_Childre!E280</f>
        <v>8757</v>
      </c>
      <c r="F280">
        <f>[3]HHS_Unaccompanied_Alien_Childre!F280</f>
        <v>253</v>
      </c>
      <c r="G280">
        <f t="shared" si="29"/>
        <v>43</v>
      </c>
      <c r="H280" t="str">
        <f t="shared" si="30"/>
        <v>Increase</v>
      </c>
      <c r="I280">
        <f t="shared" si="28"/>
        <v>-112</v>
      </c>
      <c r="J280">
        <f t="shared" si="31"/>
        <v>8757</v>
      </c>
      <c r="K280">
        <f t="shared" si="32"/>
        <v>8724</v>
      </c>
      <c r="L280">
        <f t="shared" si="33"/>
        <v>8488</v>
      </c>
      <c r="M280">
        <f t="shared" si="34"/>
        <v>8719</v>
      </c>
    </row>
    <row r="281" spans="1:13" x14ac:dyDescent="0.3">
      <c r="A281" s="2">
        <f>[1]HHS_Unaccompanied_Alien_Childre!G281</f>
        <v>45363</v>
      </c>
      <c r="B281">
        <f>[2]HHS_Unaccompanied_Alien_Childre!B281</f>
        <v>154</v>
      </c>
      <c r="C281">
        <f>[3]HHS_Unaccompanied_Alien_Childre!C281</f>
        <v>294</v>
      </c>
      <c r="D281">
        <f>[2]HHS_Unaccompanied_Alien_Childre!D281</f>
        <v>290</v>
      </c>
      <c r="E281">
        <f>[2]HHS_Unaccompanied_Alien_Childre!E281</f>
        <v>8843</v>
      </c>
      <c r="F281">
        <f>[3]HHS_Unaccompanied_Alien_Childre!F281</f>
        <v>213</v>
      </c>
      <c r="G281">
        <f t="shared" si="29"/>
        <v>86</v>
      </c>
      <c r="H281" t="str">
        <f t="shared" si="30"/>
        <v>Increase</v>
      </c>
      <c r="I281">
        <f t="shared" si="28"/>
        <v>-136</v>
      </c>
      <c r="J281">
        <f t="shared" si="31"/>
        <v>8843</v>
      </c>
      <c r="K281">
        <f t="shared" si="32"/>
        <v>8594</v>
      </c>
      <c r="L281">
        <f t="shared" si="33"/>
        <v>8573</v>
      </c>
      <c r="M281">
        <f t="shared" si="34"/>
        <v>8675.5</v>
      </c>
    </row>
    <row r="282" spans="1:13" x14ac:dyDescent="0.3">
      <c r="A282" s="2">
        <f>[1]HHS_Unaccompanied_Alien_Childre!G282</f>
        <v>45364</v>
      </c>
      <c r="B282">
        <f>[2]HHS_Unaccompanied_Alien_Childre!B282</f>
        <v>165</v>
      </c>
      <c r="C282">
        <f>[3]HHS_Unaccompanied_Alien_Childre!C282</f>
        <v>358</v>
      </c>
      <c r="D282">
        <f>[2]HHS_Unaccompanied_Alien_Childre!D282</f>
        <v>167</v>
      </c>
      <c r="E282">
        <f>[2]HHS_Unaccompanied_Alien_Childre!E282</f>
        <v>8819</v>
      </c>
      <c r="F282">
        <f>[3]HHS_Unaccompanied_Alien_Childre!F282</f>
        <v>239</v>
      </c>
      <c r="G282">
        <f t="shared" si="29"/>
        <v>-24</v>
      </c>
      <c r="H282" t="str">
        <f t="shared" si="30"/>
        <v>Decrease</v>
      </c>
      <c r="I282">
        <f t="shared" si="28"/>
        <v>-2</v>
      </c>
      <c r="J282">
        <f t="shared" si="31"/>
        <v>8819</v>
      </c>
      <c r="K282">
        <f t="shared" si="32"/>
        <v>8660</v>
      </c>
      <c r="L282">
        <f t="shared" si="33"/>
        <v>8607</v>
      </c>
      <c r="M282">
        <f t="shared" si="34"/>
        <v>8751.5</v>
      </c>
    </row>
    <row r="283" spans="1:13" x14ac:dyDescent="0.3">
      <c r="A283" s="2">
        <f>[1]HHS_Unaccompanied_Alien_Childre!G283</f>
        <v>45365</v>
      </c>
      <c r="B283">
        <f>[2]HHS_Unaccompanied_Alien_Childre!B283</f>
        <v>166</v>
      </c>
      <c r="C283">
        <f>[3]HHS_Unaccompanied_Alien_Childre!C283</f>
        <v>301</v>
      </c>
      <c r="D283">
        <f>[2]HHS_Unaccompanied_Alien_Childre!D283</f>
        <v>252</v>
      </c>
      <c r="E283">
        <f>[2]HHS_Unaccompanied_Alien_Childre!E283</f>
        <v>8695</v>
      </c>
      <c r="F283">
        <f>[3]HHS_Unaccompanied_Alien_Childre!F283</f>
        <v>310</v>
      </c>
      <c r="G283">
        <f t="shared" si="29"/>
        <v>-124</v>
      </c>
      <c r="H283" t="str">
        <f t="shared" si="30"/>
        <v>Decrease</v>
      </c>
      <c r="I283">
        <f t="shared" si="28"/>
        <v>-86</v>
      </c>
      <c r="J283">
        <f t="shared" si="31"/>
        <v>8695</v>
      </c>
      <c r="K283">
        <f t="shared" si="32"/>
        <v>8800</v>
      </c>
      <c r="L283">
        <f t="shared" si="33"/>
        <v>8404</v>
      </c>
      <c r="M283">
        <f t="shared" si="34"/>
        <v>8809.5</v>
      </c>
    </row>
    <row r="284" spans="1:13" x14ac:dyDescent="0.3">
      <c r="A284" s="2">
        <f>[1]HHS_Unaccompanied_Alien_Childre!G284</f>
        <v>45368</v>
      </c>
      <c r="B284">
        <f>[2]HHS_Unaccompanied_Alien_Childre!B284</f>
        <v>127</v>
      </c>
      <c r="C284">
        <f>[3]HHS_Unaccompanied_Alien_Childre!C284</f>
        <v>260</v>
      </c>
      <c r="D284">
        <f>[2]HHS_Unaccompanied_Alien_Childre!D284</f>
        <v>259</v>
      </c>
      <c r="E284">
        <f>[2]HHS_Unaccompanied_Alien_Childre!E284</f>
        <v>8373</v>
      </c>
      <c r="F284">
        <f>[3]HHS_Unaccompanied_Alien_Childre!F284</f>
        <v>342</v>
      </c>
      <c r="G284">
        <f t="shared" si="29"/>
        <v>-322</v>
      </c>
      <c r="H284" t="str">
        <f t="shared" si="30"/>
        <v>Decrease</v>
      </c>
      <c r="I284">
        <f t="shared" si="28"/>
        <v>-132</v>
      </c>
      <c r="J284">
        <f t="shared" si="31"/>
        <v>8373</v>
      </c>
      <c r="K284">
        <f t="shared" si="32"/>
        <v>8870</v>
      </c>
      <c r="L284">
        <f t="shared" si="33"/>
        <v>8404</v>
      </c>
      <c r="M284">
        <f t="shared" si="34"/>
        <v>8782.5</v>
      </c>
    </row>
    <row r="285" spans="1:13" x14ac:dyDescent="0.3">
      <c r="A285" s="2">
        <f>[1]HHS_Unaccompanied_Alien_Childre!G285</f>
        <v>45369</v>
      </c>
      <c r="B285">
        <f>[2]HHS_Unaccompanied_Alien_Childre!B285</f>
        <v>123</v>
      </c>
      <c r="C285">
        <f>[3]HHS_Unaccompanied_Alien_Childre!C285</f>
        <v>243</v>
      </c>
      <c r="D285">
        <f>[2]HHS_Unaccompanied_Alien_Childre!D285</f>
        <v>188</v>
      </c>
      <c r="E285">
        <f>[2]HHS_Unaccompanied_Alien_Childre!E285</f>
        <v>8333</v>
      </c>
      <c r="F285">
        <f>[3]HHS_Unaccompanied_Alien_Childre!F285</f>
        <v>283</v>
      </c>
      <c r="G285">
        <f t="shared" si="29"/>
        <v>-40</v>
      </c>
      <c r="H285" t="str">
        <f t="shared" si="30"/>
        <v>Decrease</v>
      </c>
      <c r="I285">
        <f t="shared" si="28"/>
        <v>-65</v>
      </c>
      <c r="J285">
        <f t="shared" si="31"/>
        <v>8333</v>
      </c>
      <c r="K285">
        <f t="shared" si="32"/>
        <v>8902</v>
      </c>
      <c r="L285">
        <f t="shared" si="33"/>
        <v>8650</v>
      </c>
      <c r="M285">
        <f t="shared" si="34"/>
        <v>8637.5</v>
      </c>
    </row>
    <row r="286" spans="1:13" x14ac:dyDescent="0.3">
      <c r="A286" s="2">
        <f>[1]HHS_Unaccompanied_Alien_Childre!G286</f>
        <v>45370</v>
      </c>
      <c r="B286">
        <f>[2]HHS_Unaccompanied_Alien_Childre!B286</f>
        <v>99</v>
      </c>
      <c r="C286">
        <f>[3]HHS_Unaccompanied_Alien_Childre!C286</f>
        <v>202</v>
      </c>
      <c r="D286">
        <f>[2]HHS_Unaccompanied_Alien_Childre!D286</f>
        <v>256</v>
      </c>
      <c r="E286">
        <f>[2]HHS_Unaccompanied_Alien_Childre!E286</f>
        <v>8390</v>
      </c>
      <c r="F286">
        <f>[3]HHS_Unaccompanied_Alien_Childre!F286</f>
        <v>197</v>
      </c>
      <c r="G286">
        <f t="shared" si="29"/>
        <v>57</v>
      </c>
      <c r="H286" t="str">
        <f t="shared" si="30"/>
        <v>Increase</v>
      </c>
      <c r="I286">
        <f t="shared" si="28"/>
        <v>-157</v>
      </c>
      <c r="J286">
        <f t="shared" si="31"/>
        <v>8390</v>
      </c>
      <c r="K286">
        <f t="shared" si="32"/>
        <v>8714</v>
      </c>
      <c r="L286">
        <f t="shared" si="33"/>
        <v>8699</v>
      </c>
      <c r="M286">
        <f t="shared" si="34"/>
        <v>8523.5</v>
      </c>
    </row>
    <row r="287" spans="1:13" x14ac:dyDescent="0.3">
      <c r="A287" s="2">
        <f>[1]HHS_Unaccompanied_Alien_Childre!G287</f>
        <v>45371</v>
      </c>
      <c r="B287">
        <f>[2]HHS_Unaccompanied_Alien_Childre!B287</f>
        <v>91</v>
      </c>
      <c r="C287">
        <f>[3]HHS_Unaccompanied_Alien_Childre!C287</f>
        <v>181</v>
      </c>
      <c r="D287">
        <f>[2]HHS_Unaccompanied_Alien_Childre!D287</f>
        <v>174</v>
      </c>
      <c r="E287">
        <f>[2]HHS_Unaccompanied_Alien_Childre!E287</f>
        <v>8365</v>
      </c>
      <c r="F287">
        <f>[3]HHS_Unaccompanied_Alien_Childre!F287</f>
        <v>227</v>
      </c>
      <c r="G287">
        <f t="shared" si="29"/>
        <v>-25</v>
      </c>
      <c r="H287" t="str">
        <f t="shared" si="30"/>
        <v>Decrease</v>
      </c>
      <c r="I287">
        <f t="shared" si="28"/>
        <v>-83</v>
      </c>
      <c r="J287">
        <f t="shared" si="31"/>
        <v>8365</v>
      </c>
      <c r="K287">
        <f t="shared" si="32"/>
        <v>8757</v>
      </c>
      <c r="L287">
        <f t="shared" si="33"/>
        <v>8724</v>
      </c>
      <c r="M287">
        <f t="shared" si="34"/>
        <v>8573.5</v>
      </c>
    </row>
    <row r="288" spans="1:13" x14ac:dyDescent="0.3">
      <c r="A288" s="2">
        <f>[1]HHS_Unaccompanied_Alien_Childre!G288</f>
        <v>45372</v>
      </c>
      <c r="B288">
        <f>[2]HHS_Unaccompanied_Alien_Childre!B288</f>
        <v>132</v>
      </c>
      <c r="C288">
        <f>[3]HHS_Unaccompanied_Alien_Childre!C288</f>
        <v>261</v>
      </c>
      <c r="D288">
        <f>[2]HHS_Unaccompanied_Alien_Childre!D288</f>
        <v>141</v>
      </c>
      <c r="E288">
        <f>[2]HHS_Unaccompanied_Alien_Childre!E288</f>
        <v>8292</v>
      </c>
      <c r="F288">
        <f>[3]HHS_Unaccompanied_Alien_Childre!F288</f>
        <v>235</v>
      </c>
      <c r="G288">
        <f t="shared" si="29"/>
        <v>-73</v>
      </c>
      <c r="H288" t="str">
        <f t="shared" si="30"/>
        <v>Decrease</v>
      </c>
      <c r="I288">
        <f t="shared" si="28"/>
        <v>-9</v>
      </c>
      <c r="J288">
        <f t="shared" si="31"/>
        <v>8292</v>
      </c>
      <c r="K288">
        <f t="shared" si="32"/>
        <v>8843</v>
      </c>
      <c r="L288">
        <f t="shared" si="33"/>
        <v>8594</v>
      </c>
      <c r="M288">
        <f t="shared" si="34"/>
        <v>8604</v>
      </c>
    </row>
    <row r="289" spans="1:13" x14ac:dyDescent="0.3">
      <c r="A289" s="2">
        <f>[1]HHS_Unaccompanied_Alien_Childre!G289</f>
        <v>45375</v>
      </c>
      <c r="B289">
        <f>[2]HHS_Unaccompanied_Alien_Childre!B289</f>
        <v>124</v>
      </c>
      <c r="C289">
        <f>[3]HHS_Unaccompanied_Alien_Childre!C289</f>
        <v>264</v>
      </c>
      <c r="D289">
        <f>[2]HHS_Unaccompanied_Alien_Childre!D289</f>
        <v>221</v>
      </c>
      <c r="E289">
        <f>[2]HHS_Unaccompanied_Alien_Childre!E289</f>
        <v>7899</v>
      </c>
      <c r="F289">
        <f>[3]HHS_Unaccompanied_Alien_Childre!F289</f>
        <v>373</v>
      </c>
      <c r="G289">
        <f t="shared" si="29"/>
        <v>-393</v>
      </c>
      <c r="H289" t="str">
        <f t="shared" si="30"/>
        <v>Decrease</v>
      </c>
      <c r="I289">
        <f t="shared" si="28"/>
        <v>-97</v>
      </c>
      <c r="J289">
        <f t="shared" si="31"/>
        <v>7899</v>
      </c>
      <c r="K289">
        <f t="shared" si="32"/>
        <v>8819</v>
      </c>
      <c r="L289">
        <f t="shared" si="33"/>
        <v>8660</v>
      </c>
      <c r="M289">
        <f t="shared" si="34"/>
        <v>8555.5</v>
      </c>
    </row>
    <row r="290" spans="1:13" x14ac:dyDescent="0.3">
      <c r="A290" s="2">
        <f>[1]HHS_Unaccompanied_Alien_Childre!G290</f>
        <v>45376</v>
      </c>
      <c r="B290">
        <f>[2]HHS_Unaccompanied_Alien_Childre!B290</f>
        <v>128</v>
      </c>
      <c r="C290">
        <f>[3]HHS_Unaccompanied_Alien_Childre!C290</f>
        <v>242</v>
      </c>
      <c r="D290">
        <f>[2]HHS_Unaccompanied_Alien_Childre!D290</f>
        <v>224</v>
      </c>
      <c r="E290">
        <f>[2]HHS_Unaccompanied_Alien_Childre!E290</f>
        <v>7899</v>
      </c>
      <c r="F290">
        <f>[3]HHS_Unaccompanied_Alien_Childre!F290</f>
        <v>229</v>
      </c>
      <c r="G290">
        <f t="shared" si="29"/>
        <v>0</v>
      </c>
      <c r="H290" t="str">
        <f t="shared" si="30"/>
        <v>No Change</v>
      </c>
      <c r="I290">
        <f t="shared" si="28"/>
        <v>-96</v>
      </c>
      <c r="J290">
        <f t="shared" si="31"/>
        <v>7899</v>
      </c>
      <c r="K290">
        <f t="shared" si="32"/>
        <v>8695</v>
      </c>
      <c r="L290">
        <f t="shared" si="33"/>
        <v>8800</v>
      </c>
      <c r="M290">
        <f t="shared" si="34"/>
        <v>8297</v>
      </c>
    </row>
    <row r="291" spans="1:13" x14ac:dyDescent="0.3">
      <c r="A291" s="2">
        <f>[1]HHS_Unaccompanied_Alien_Childre!G291</f>
        <v>45377</v>
      </c>
      <c r="B291">
        <f>[2]HHS_Unaccompanied_Alien_Childre!B291</f>
        <v>187</v>
      </c>
      <c r="C291">
        <f>[3]HHS_Unaccompanied_Alien_Childre!C291</f>
        <v>276</v>
      </c>
      <c r="D291">
        <f>[2]HHS_Unaccompanied_Alien_Childre!D291</f>
        <v>200</v>
      </c>
      <c r="E291">
        <f>[2]HHS_Unaccompanied_Alien_Childre!E291</f>
        <v>7919</v>
      </c>
      <c r="F291">
        <f>[3]HHS_Unaccompanied_Alien_Childre!F291</f>
        <v>208</v>
      </c>
      <c r="G291">
        <f t="shared" si="29"/>
        <v>20</v>
      </c>
      <c r="H291" t="str">
        <f t="shared" si="30"/>
        <v>Increase</v>
      </c>
      <c r="I291">
        <f t="shared" si="28"/>
        <v>-13</v>
      </c>
      <c r="J291">
        <f t="shared" si="31"/>
        <v>7919</v>
      </c>
      <c r="K291">
        <f t="shared" si="32"/>
        <v>8373</v>
      </c>
      <c r="L291">
        <f t="shared" si="33"/>
        <v>8870</v>
      </c>
      <c r="M291">
        <f t="shared" si="34"/>
        <v>8136</v>
      </c>
    </row>
    <row r="292" spans="1:13" x14ac:dyDescent="0.3">
      <c r="A292" s="2">
        <f>[1]HHS_Unaccompanied_Alien_Childre!G292</f>
        <v>45378</v>
      </c>
      <c r="B292">
        <f>[2]HHS_Unaccompanied_Alien_Childre!B292</f>
        <v>129</v>
      </c>
      <c r="C292">
        <f>[3]HHS_Unaccompanied_Alien_Childre!C292</f>
        <v>287</v>
      </c>
      <c r="D292">
        <f>[2]HHS_Unaccompanied_Alien_Childre!D292</f>
        <v>185</v>
      </c>
      <c r="E292">
        <f>[2]HHS_Unaccompanied_Alien_Childre!E292</f>
        <v>7893</v>
      </c>
      <c r="F292">
        <f>[3]HHS_Unaccompanied_Alien_Childre!F292</f>
        <v>215</v>
      </c>
      <c r="G292">
        <f t="shared" si="29"/>
        <v>-26</v>
      </c>
      <c r="H292" t="str">
        <f t="shared" si="30"/>
        <v>Decrease</v>
      </c>
      <c r="I292">
        <f t="shared" si="28"/>
        <v>-56</v>
      </c>
      <c r="J292">
        <f t="shared" si="31"/>
        <v>7893</v>
      </c>
      <c r="K292">
        <f t="shared" si="32"/>
        <v>8333</v>
      </c>
      <c r="L292">
        <f t="shared" si="33"/>
        <v>8902</v>
      </c>
      <c r="M292">
        <f t="shared" si="34"/>
        <v>8126</v>
      </c>
    </row>
    <row r="293" spans="1:13" x14ac:dyDescent="0.3">
      <c r="A293" s="2">
        <f>[1]HHS_Unaccompanied_Alien_Childre!G293</f>
        <v>45379</v>
      </c>
      <c r="B293">
        <f>[2]HHS_Unaccompanied_Alien_Childre!B293</f>
        <v>161</v>
      </c>
      <c r="C293">
        <f>[3]HHS_Unaccompanied_Alien_Childre!C293</f>
        <v>288</v>
      </c>
      <c r="D293">
        <f>[2]HHS_Unaccompanied_Alien_Childre!D293</f>
        <v>248</v>
      </c>
      <c r="E293">
        <f>[2]HHS_Unaccompanied_Alien_Childre!E293</f>
        <v>7762</v>
      </c>
      <c r="F293">
        <f>[3]HHS_Unaccompanied_Alien_Childre!F293</f>
        <v>360</v>
      </c>
      <c r="G293">
        <f t="shared" si="29"/>
        <v>-131</v>
      </c>
      <c r="H293" t="str">
        <f t="shared" si="30"/>
        <v>Decrease</v>
      </c>
      <c r="I293">
        <f t="shared" si="28"/>
        <v>-87</v>
      </c>
      <c r="J293">
        <f t="shared" si="31"/>
        <v>7762</v>
      </c>
      <c r="K293">
        <f t="shared" si="32"/>
        <v>8390</v>
      </c>
      <c r="L293">
        <f t="shared" si="33"/>
        <v>8714</v>
      </c>
      <c r="M293">
        <f t="shared" si="34"/>
        <v>8141.5</v>
      </c>
    </row>
    <row r="294" spans="1:13" x14ac:dyDescent="0.3">
      <c r="A294" s="2">
        <f>[1]HHS_Unaccompanied_Alien_Childre!G294</f>
        <v>45382</v>
      </c>
      <c r="B294">
        <f>[2]HHS_Unaccompanied_Alien_Childre!B294</f>
        <v>105</v>
      </c>
      <c r="C294">
        <f>[3]HHS_Unaccompanied_Alien_Childre!C294</f>
        <v>254</v>
      </c>
      <c r="D294">
        <f>[2]HHS_Unaccompanied_Alien_Childre!D294</f>
        <v>151</v>
      </c>
      <c r="E294">
        <f>[2]HHS_Unaccompanied_Alien_Childre!E294</f>
        <v>7257</v>
      </c>
      <c r="F294">
        <f>[3]HHS_Unaccompanied_Alien_Childre!F294</f>
        <v>287</v>
      </c>
      <c r="G294">
        <f t="shared" si="29"/>
        <v>-505</v>
      </c>
      <c r="H294" t="str">
        <f t="shared" si="30"/>
        <v>Decrease</v>
      </c>
      <c r="I294">
        <f t="shared" si="28"/>
        <v>-46</v>
      </c>
      <c r="J294">
        <f t="shared" si="31"/>
        <v>7257</v>
      </c>
      <c r="K294">
        <f t="shared" si="32"/>
        <v>8365</v>
      </c>
      <c r="L294">
        <f t="shared" si="33"/>
        <v>8757</v>
      </c>
      <c r="M294">
        <f t="shared" si="34"/>
        <v>8063.5</v>
      </c>
    </row>
    <row r="295" spans="1:13" x14ac:dyDescent="0.3">
      <c r="A295" s="2">
        <f>[1]HHS_Unaccompanied_Alien_Childre!G295</f>
        <v>45383</v>
      </c>
      <c r="B295">
        <f>[2]HHS_Unaccompanied_Alien_Childre!B295</f>
        <v>109</v>
      </c>
      <c r="C295">
        <f>[3]HHS_Unaccompanied_Alien_Childre!C295</f>
        <v>235</v>
      </c>
      <c r="D295">
        <f>[2]HHS_Unaccompanied_Alien_Childre!D295</f>
        <v>171</v>
      </c>
      <c r="E295">
        <f>[2]HHS_Unaccompanied_Alien_Childre!E295</f>
        <v>7271</v>
      </c>
      <c r="F295">
        <f>[3]HHS_Unaccompanied_Alien_Childre!F295</f>
        <v>172</v>
      </c>
      <c r="G295">
        <f t="shared" si="29"/>
        <v>14</v>
      </c>
      <c r="H295" t="str">
        <f t="shared" si="30"/>
        <v>Increase</v>
      </c>
      <c r="I295">
        <f t="shared" si="28"/>
        <v>-62</v>
      </c>
      <c r="J295">
        <f t="shared" si="31"/>
        <v>7271</v>
      </c>
      <c r="K295">
        <f t="shared" si="32"/>
        <v>8292</v>
      </c>
      <c r="L295">
        <f t="shared" si="33"/>
        <v>8843</v>
      </c>
      <c r="M295">
        <f t="shared" si="34"/>
        <v>7774.5</v>
      </c>
    </row>
    <row r="296" spans="1:13" x14ac:dyDescent="0.3">
      <c r="A296" s="2">
        <f>[1]HHS_Unaccompanied_Alien_Childre!G296</f>
        <v>45384</v>
      </c>
      <c r="B296">
        <f>[2]HHS_Unaccompanied_Alien_Childre!B296</f>
        <v>101</v>
      </c>
      <c r="C296">
        <f>[3]HHS_Unaccompanied_Alien_Childre!C296</f>
        <v>230</v>
      </c>
      <c r="D296">
        <f>[2]HHS_Unaccompanied_Alien_Childre!D296</f>
        <v>175</v>
      </c>
      <c r="E296">
        <f>[2]HHS_Unaccompanied_Alien_Childre!E296</f>
        <v>7340</v>
      </c>
      <c r="F296">
        <f>[3]HHS_Unaccompanied_Alien_Childre!F296</f>
        <v>132</v>
      </c>
      <c r="G296">
        <f t="shared" si="29"/>
        <v>69</v>
      </c>
      <c r="H296" t="str">
        <f t="shared" si="30"/>
        <v>Increase</v>
      </c>
      <c r="I296">
        <f t="shared" si="28"/>
        <v>-74</v>
      </c>
      <c r="J296">
        <f t="shared" si="31"/>
        <v>7340</v>
      </c>
      <c r="K296">
        <f t="shared" si="32"/>
        <v>7899</v>
      </c>
      <c r="L296">
        <f t="shared" si="33"/>
        <v>8819</v>
      </c>
      <c r="M296">
        <f t="shared" si="34"/>
        <v>7585</v>
      </c>
    </row>
    <row r="297" spans="1:13" x14ac:dyDescent="0.3">
      <c r="A297" s="2">
        <f>[1]HHS_Unaccompanied_Alien_Childre!G297</f>
        <v>45385</v>
      </c>
      <c r="B297">
        <f>[2]HHS_Unaccompanied_Alien_Childre!B297</f>
        <v>124</v>
      </c>
      <c r="C297">
        <f>[3]HHS_Unaccompanied_Alien_Childre!C297</f>
        <v>230</v>
      </c>
      <c r="D297">
        <f>[2]HHS_Unaccompanied_Alien_Childre!D297</f>
        <v>190</v>
      </c>
      <c r="E297">
        <f>[2]HHS_Unaccompanied_Alien_Childre!E297</f>
        <v>7346</v>
      </c>
      <c r="F297">
        <f>[3]HHS_Unaccompanied_Alien_Childre!F297</f>
        <v>163</v>
      </c>
      <c r="G297">
        <f t="shared" si="29"/>
        <v>6</v>
      </c>
      <c r="H297" t="str">
        <f t="shared" si="30"/>
        <v>Increase</v>
      </c>
      <c r="I297">
        <f t="shared" si="28"/>
        <v>-66</v>
      </c>
      <c r="J297">
        <f t="shared" si="31"/>
        <v>7346</v>
      </c>
      <c r="K297">
        <f t="shared" si="32"/>
        <v>7899</v>
      </c>
      <c r="L297">
        <f t="shared" si="33"/>
        <v>8695</v>
      </c>
      <c r="M297">
        <f t="shared" si="34"/>
        <v>7619.5</v>
      </c>
    </row>
    <row r="298" spans="1:13" x14ac:dyDescent="0.3">
      <c r="A298" s="2">
        <f>[1]HHS_Unaccompanied_Alien_Childre!G298</f>
        <v>45386</v>
      </c>
      <c r="B298">
        <f>[2]HHS_Unaccompanied_Alien_Childre!B298</f>
        <v>95</v>
      </c>
      <c r="C298">
        <f>[3]HHS_Unaccompanied_Alien_Childre!C298</f>
        <v>226</v>
      </c>
      <c r="D298">
        <f>[2]HHS_Unaccompanied_Alien_Childre!D298</f>
        <v>152</v>
      </c>
      <c r="E298">
        <f>[2]HHS_Unaccompanied_Alien_Childre!E298</f>
        <v>7317</v>
      </c>
      <c r="F298">
        <f>[3]HHS_Unaccompanied_Alien_Childre!F298</f>
        <v>225</v>
      </c>
      <c r="G298">
        <f t="shared" si="29"/>
        <v>-29</v>
      </c>
      <c r="H298" t="str">
        <f t="shared" si="30"/>
        <v>Decrease</v>
      </c>
      <c r="I298">
        <f t="shared" si="28"/>
        <v>-57</v>
      </c>
      <c r="J298">
        <f t="shared" si="31"/>
        <v>7317</v>
      </c>
      <c r="K298">
        <f t="shared" si="32"/>
        <v>7919</v>
      </c>
      <c r="L298">
        <f t="shared" si="33"/>
        <v>8373</v>
      </c>
      <c r="M298">
        <f t="shared" si="34"/>
        <v>7632.5</v>
      </c>
    </row>
    <row r="299" spans="1:13" x14ac:dyDescent="0.3">
      <c r="A299" s="2">
        <f>[1]HHS_Unaccompanied_Alien_Childre!G299</f>
        <v>45389</v>
      </c>
      <c r="B299">
        <f>[2]HHS_Unaccompanied_Alien_Childre!B299</f>
        <v>106</v>
      </c>
      <c r="C299">
        <f>[3]HHS_Unaccompanied_Alien_Childre!C299</f>
        <v>239</v>
      </c>
      <c r="D299">
        <f>[2]HHS_Unaccompanied_Alien_Childre!D299</f>
        <v>233</v>
      </c>
      <c r="E299">
        <f>[2]HHS_Unaccompanied_Alien_Childre!E299</f>
        <v>6982</v>
      </c>
      <c r="F299">
        <f>[3]HHS_Unaccompanied_Alien_Childre!F299</f>
        <v>279</v>
      </c>
      <c r="G299">
        <f t="shared" si="29"/>
        <v>-335</v>
      </c>
      <c r="H299" t="str">
        <f t="shared" si="30"/>
        <v>Decrease</v>
      </c>
      <c r="I299">
        <f t="shared" si="28"/>
        <v>-127</v>
      </c>
      <c r="J299">
        <f t="shared" si="31"/>
        <v>6982</v>
      </c>
      <c r="K299">
        <f t="shared" si="32"/>
        <v>7893</v>
      </c>
      <c r="L299">
        <f t="shared" si="33"/>
        <v>8333</v>
      </c>
      <c r="M299">
        <f t="shared" si="34"/>
        <v>7605</v>
      </c>
    </row>
    <row r="300" spans="1:13" x14ac:dyDescent="0.3">
      <c r="A300" s="2">
        <f>[1]HHS_Unaccompanied_Alien_Childre!G300</f>
        <v>45390</v>
      </c>
      <c r="B300">
        <f>[2]HHS_Unaccompanied_Alien_Childre!B300</f>
        <v>102</v>
      </c>
      <c r="C300">
        <f>[3]HHS_Unaccompanied_Alien_Childre!C300</f>
        <v>230</v>
      </c>
      <c r="D300">
        <f>[2]HHS_Unaccompanied_Alien_Childre!D300</f>
        <v>167</v>
      </c>
      <c r="E300">
        <f>[2]HHS_Unaccompanied_Alien_Childre!E300</f>
        <v>6988</v>
      </c>
      <c r="F300">
        <f>[3]HHS_Unaccompanied_Alien_Childre!F300</f>
        <v>199</v>
      </c>
      <c r="G300">
        <f t="shared" si="29"/>
        <v>6</v>
      </c>
      <c r="H300" t="str">
        <f t="shared" si="30"/>
        <v>Increase</v>
      </c>
      <c r="I300">
        <f t="shared" si="28"/>
        <v>-65</v>
      </c>
      <c r="J300">
        <f t="shared" si="31"/>
        <v>6988</v>
      </c>
      <c r="K300">
        <f t="shared" si="32"/>
        <v>7762</v>
      </c>
      <c r="L300">
        <f t="shared" si="33"/>
        <v>8390</v>
      </c>
      <c r="M300">
        <f t="shared" si="34"/>
        <v>7372</v>
      </c>
    </row>
    <row r="301" spans="1:13" x14ac:dyDescent="0.3">
      <c r="A301" s="2">
        <f>[1]HHS_Unaccompanied_Alien_Childre!G301</f>
        <v>45391</v>
      </c>
      <c r="B301">
        <f>[2]HHS_Unaccompanied_Alien_Childre!B301</f>
        <v>118</v>
      </c>
      <c r="C301">
        <f>[3]HHS_Unaccompanied_Alien_Childre!C301</f>
        <v>231</v>
      </c>
      <c r="D301">
        <f>[2]HHS_Unaccompanied_Alien_Childre!D301</f>
        <v>217</v>
      </c>
      <c r="E301">
        <f>[2]HHS_Unaccompanied_Alien_Childre!E301</f>
        <v>7043</v>
      </c>
      <c r="F301">
        <f>[3]HHS_Unaccompanied_Alien_Childre!F301</f>
        <v>130</v>
      </c>
      <c r="G301">
        <f t="shared" si="29"/>
        <v>55</v>
      </c>
      <c r="H301" t="str">
        <f t="shared" si="30"/>
        <v>Increase</v>
      </c>
      <c r="I301">
        <f t="shared" si="28"/>
        <v>-99</v>
      </c>
      <c r="J301">
        <f t="shared" si="31"/>
        <v>7043</v>
      </c>
      <c r="K301">
        <f t="shared" si="32"/>
        <v>7257</v>
      </c>
      <c r="L301">
        <f t="shared" si="33"/>
        <v>8365</v>
      </c>
      <c r="M301">
        <f t="shared" si="34"/>
        <v>7122.5</v>
      </c>
    </row>
    <row r="302" spans="1:13" x14ac:dyDescent="0.3">
      <c r="A302" s="2">
        <f>[1]HHS_Unaccompanied_Alien_Childre!G302</f>
        <v>45392</v>
      </c>
      <c r="B302">
        <f>[2]HHS_Unaccompanied_Alien_Childre!B302</f>
        <v>117</v>
      </c>
      <c r="C302">
        <f>[3]HHS_Unaccompanied_Alien_Childre!C302</f>
        <v>244</v>
      </c>
      <c r="D302">
        <f>[2]HHS_Unaccompanied_Alien_Childre!D302</f>
        <v>142</v>
      </c>
      <c r="E302">
        <f>[2]HHS_Unaccompanied_Alien_Childre!E302</f>
        <v>6999</v>
      </c>
      <c r="F302">
        <f>[3]HHS_Unaccompanied_Alien_Childre!F302</f>
        <v>227</v>
      </c>
      <c r="G302">
        <f t="shared" si="29"/>
        <v>-44</v>
      </c>
      <c r="H302" t="str">
        <f t="shared" si="30"/>
        <v>Decrease</v>
      </c>
      <c r="I302">
        <f t="shared" si="28"/>
        <v>-25</v>
      </c>
      <c r="J302">
        <f t="shared" si="31"/>
        <v>6999</v>
      </c>
      <c r="K302">
        <f t="shared" si="32"/>
        <v>7271</v>
      </c>
      <c r="L302">
        <f t="shared" si="33"/>
        <v>8292</v>
      </c>
      <c r="M302">
        <f t="shared" si="34"/>
        <v>7157</v>
      </c>
    </row>
    <row r="303" spans="1:13" x14ac:dyDescent="0.3">
      <c r="A303" s="2">
        <f>[1]HHS_Unaccompanied_Alien_Childre!G303</f>
        <v>45393</v>
      </c>
      <c r="B303">
        <f>[2]HHS_Unaccompanied_Alien_Childre!B303</f>
        <v>183</v>
      </c>
      <c r="C303">
        <f>[3]HHS_Unaccompanied_Alien_Childre!C303</f>
        <v>221</v>
      </c>
      <c r="D303">
        <f>[2]HHS_Unaccompanied_Alien_Childre!D303</f>
        <v>220</v>
      </c>
      <c r="E303">
        <f>[2]HHS_Unaccompanied_Alien_Childre!E303</f>
        <v>6912</v>
      </c>
      <c r="F303">
        <f>[3]HHS_Unaccompanied_Alien_Childre!F303</f>
        <v>285</v>
      </c>
      <c r="G303">
        <f t="shared" si="29"/>
        <v>-87</v>
      </c>
      <c r="H303" t="str">
        <f t="shared" si="30"/>
        <v>Decrease</v>
      </c>
      <c r="I303">
        <f t="shared" si="28"/>
        <v>-37</v>
      </c>
      <c r="J303">
        <f t="shared" si="31"/>
        <v>6912</v>
      </c>
      <c r="K303">
        <f t="shared" si="32"/>
        <v>7340</v>
      </c>
      <c r="L303">
        <f t="shared" si="33"/>
        <v>7899</v>
      </c>
      <c r="M303">
        <f t="shared" si="34"/>
        <v>7169.5</v>
      </c>
    </row>
    <row r="304" spans="1:13" x14ac:dyDescent="0.3">
      <c r="A304" s="2">
        <f>[1]HHS_Unaccompanied_Alien_Childre!G304</f>
        <v>45396</v>
      </c>
      <c r="B304">
        <f>[2]HHS_Unaccompanied_Alien_Childre!B304</f>
        <v>128</v>
      </c>
      <c r="C304">
        <f>[3]HHS_Unaccompanied_Alien_Childre!C304</f>
        <v>245</v>
      </c>
      <c r="D304">
        <f>[2]HHS_Unaccompanied_Alien_Childre!D304</f>
        <v>243</v>
      </c>
      <c r="E304">
        <f>[2]HHS_Unaccompanied_Alien_Childre!E304</f>
        <v>6630</v>
      </c>
      <c r="F304">
        <f>[3]HHS_Unaccompanied_Alien_Childre!F304</f>
        <v>290</v>
      </c>
      <c r="G304">
        <f t="shared" si="29"/>
        <v>-282</v>
      </c>
      <c r="H304" t="str">
        <f t="shared" si="30"/>
        <v>Decrease</v>
      </c>
      <c r="I304">
        <f t="shared" si="28"/>
        <v>-115</v>
      </c>
      <c r="J304">
        <f t="shared" si="31"/>
        <v>6630</v>
      </c>
      <c r="K304">
        <f t="shared" si="32"/>
        <v>7346</v>
      </c>
      <c r="L304">
        <f t="shared" si="33"/>
        <v>7899</v>
      </c>
      <c r="M304">
        <f t="shared" si="34"/>
        <v>7129</v>
      </c>
    </row>
    <row r="305" spans="1:13" x14ac:dyDescent="0.3">
      <c r="A305" s="2">
        <f>[1]HHS_Unaccompanied_Alien_Childre!G305</f>
        <v>45397</v>
      </c>
      <c r="B305">
        <f>[2]HHS_Unaccompanied_Alien_Childre!B305</f>
        <v>144</v>
      </c>
      <c r="C305">
        <f>[3]HHS_Unaccompanied_Alien_Childre!C305</f>
        <v>303</v>
      </c>
      <c r="D305">
        <f>[2]HHS_Unaccompanied_Alien_Childre!D305</f>
        <v>176</v>
      </c>
      <c r="E305">
        <f>[2]HHS_Unaccompanied_Alien_Childre!E305</f>
        <v>6681</v>
      </c>
      <c r="F305">
        <f>[3]HHS_Unaccompanied_Alien_Childre!F305</f>
        <v>191</v>
      </c>
      <c r="G305">
        <f t="shared" si="29"/>
        <v>51</v>
      </c>
      <c r="H305" t="str">
        <f t="shared" si="30"/>
        <v>Increase</v>
      </c>
      <c r="I305">
        <f t="shared" si="28"/>
        <v>-32</v>
      </c>
      <c r="J305">
        <f t="shared" si="31"/>
        <v>6681</v>
      </c>
      <c r="K305">
        <f t="shared" si="32"/>
        <v>7317</v>
      </c>
      <c r="L305">
        <f t="shared" si="33"/>
        <v>7919</v>
      </c>
      <c r="M305">
        <f t="shared" si="34"/>
        <v>6973.5</v>
      </c>
    </row>
    <row r="306" spans="1:13" x14ac:dyDescent="0.3">
      <c r="A306" s="2">
        <f>[1]HHS_Unaccompanied_Alien_Childre!G306</f>
        <v>45398</v>
      </c>
      <c r="B306">
        <f>[2]HHS_Unaccompanied_Alien_Childre!B306</f>
        <v>219</v>
      </c>
      <c r="C306">
        <f>[3]HHS_Unaccompanied_Alien_Childre!C306</f>
        <v>392</v>
      </c>
      <c r="D306">
        <f>[2]HHS_Unaccompanied_Alien_Childre!D306</f>
        <v>205</v>
      </c>
      <c r="E306">
        <f>[2]HHS_Unaccompanied_Alien_Childre!E306</f>
        <v>6685</v>
      </c>
      <c r="F306">
        <f>[3]HHS_Unaccompanied_Alien_Childre!F306</f>
        <v>163</v>
      </c>
      <c r="G306">
        <f t="shared" si="29"/>
        <v>4</v>
      </c>
      <c r="H306" t="str">
        <f t="shared" si="30"/>
        <v>Increase</v>
      </c>
      <c r="I306">
        <f t="shared" si="28"/>
        <v>14</v>
      </c>
      <c r="J306">
        <f t="shared" si="31"/>
        <v>6685</v>
      </c>
      <c r="K306">
        <f t="shared" si="32"/>
        <v>6982</v>
      </c>
      <c r="L306">
        <f t="shared" si="33"/>
        <v>7893</v>
      </c>
      <c r="M306">
        <f t="shared" si="34"/>
        <v>6831.5</v>
      </c>
    </row>
    <row r="307" spans="1:13" x14ac:dyDescent="0.3">
      <c r="A307" s="2">
        <f>[1]HHS_Unaccompanied_Alien_Childre!G307</f>
        <v>45399</v>
      </c>
      <c r="B307">
        <f>[2]HHS_Unaccompanied_Alien_Childre!B307</f>
        <v>182</v>
      </c>
      <c r="C307">
        <f>[3]HHS_Unaccompanied_Alien_Childre!C307</f>
        <v>371</v>
      </c>
      <c r="D307">
        <f>[2]HHS_Unaccompanied_Alien_Childre!D307</f>
        <v>274</v>
      </c>
      <c r="E307">
        <f>[2]HHS_Unaccompanied_Alien_Childre!E307</f>
        <v>6725</v>
      </c>
      <c r="F307">
        <f>[3]HHS_Unaccompanied_Alien_Childre!F307</f>
        <v>227</v>
      </c>
      <c r="G307">
        <f t="shared" si="29"/>
        <v>40</v>
      </c>
      <c r="H307" t="str">
        <f t="shared" si="30"/>
        <v>Increase</v>
      </c>
      <c r="I307">
        <f t="shared" si="28"/>
        <v>-92</v>
      </c>
      <c r="J307">
        <f t="shared" si="31"/>
        <v>6725</v>
      </c>
      <c r="K307">
        <f t="shared" si="32"/>
        <v>6988</v>
      </c>
      <c r="L307">
        <f t="shared" si="33"/>
        <v>7762</v>
      </c>
      <c r="M307">
        <f t="shared" si="34"/>
        <v>6836.5</v>
      </c>
    </row>
    <row r="308" spans="1:13" x14ac:dyDescent="0.3">
      <c r="A308" s="2">
        <f>[1]HHS_Unaccompanied_Alien_Childre!G308</f>
        <v>45400</v>
      </c>
      <c r="B308">
        <f>[2]HHS_Unaccompanied_Alien_Childre!B308</f>
        <v>144</v>
      </c>
      <c r="C308">
        <f>[3]HHS_Unaccompanied_Alien_Childre!C308</f>
        <v>322</v>
      </c>
      <c r="D308">
        <f>[2]HHS_Unaccompanied_Alien_Childre!D308</f>
        <v>258</v>
      </c>
      <c r="E308">
        <f>[2]HHS_Unaccompanied_Alien_Childre!E308</f>
        <v>6728</v>
      </c>
      <c r="F308">
        <f>[3]HHS_Unaccompanied_Alien_Childre!F308</f>
        <v>260</v>
      </c>
      <c r="G308">
        <f t="shared" si="29"/>
        <v>3</v>
      </c>
      <c r="H308" t="str">
        <f t="shared" si="30"/>
        <v>Increase</v>
      </c>
      <c r="I308">
        <f t="shared" si="28"/>
        <v>-114</v>
      </c>
      <c r="J308">
        <f t="shared" si="31"/>
        <v>6728</v>
      </c>
      <c r="K308">
        <f t="shared" si="32"/>
        <v>7043</v>
      </c>
      <c r="L308">
        <f t="shared" si="33"/>
        <v>7257</v>
      </c>
      <c r="M308">
        <f t="shared" si="34"/>
        <v>6884</v>
      </c>
    </row>
    <row r="309" spans="1:13" x14ac:dyDescent="0.3">
      <c r="A309" s="2">
        <f>[1]HHS_Unaccompanied_Alien_Childre!G309</f>
        <v>45403</v>
      </c>
      <c r="B309">
        <f>[2]HHS_Unaccompanied_Alien_Childre!B309</f>
        <v>208</v>
      </c>
      <c r="C309">
        <f>[3]HHS_Unaccompanied_Alien_Childre!C309</f>
        <v>380</v>
      </c>
      <c r="D309">
        <f>[2]HHS_Unaccompanied_Alien_Childre!D309</f>
        <v>343</v>
      </c>
      <c r="E309">
        <f>[2]HHS_Unaccompanied_Alien_Childre!E309</f>
        <v>6745</v>
      </c>
      <c r="F309">
        <f>[3]HHS_Unaccompanied_Alien_Childre!F309</f>
        <v>240</v>
      </c>
      <c r="G309">
        <f t="shared" si="29"/>
        <v>17</v>
      </c>
      <c r="H309" t="str">
        <f t="shared" si="30"/>
        <v>Increase</v>
      </c>
      <c r="I309">
        <f t="shared" si="28"/>
        <v>-135</v>
      </c>
      <c r="J309">
        <f t="shared" si="31"/>
        <v>6745</v>
      </c>
      <c r="K309">
        <f t="shared" si="32"/>
        <v>6999</v>
      </c>
      <c r="L309">
        <f t="shared" si="33"/>
        <v>7271</v>
      </c>
      <c r="M309">
        <f t="shared" si="34"/>
        <v>6863.5</v>
      </c>
    </row>
    <row r="310" spans="1:13" x14ac:dyDescent="0.3">
      <c r="A310" s="2">
        <f>[1]HHS_Unaccompanied_Alien_Childre!G310</f>
        <v>45404</v>
      </c>
      <c r="B310">
        <f>[2]HHS_Unaccompanied_Alien_Childre!B310</f>
        <v>176</v>
      </c>
      <c r="C310">
        <f>[3]HHS_Unaccompanied_Alien_Childre!C310</f>
        <v>424</v>
      </c>
      <c r="D310">
        <f>[2]HHS_Unaccompanied_Alien_Childre!D310</f>
        <v>251</v>
      </c>
      <c r="E310">
        <f>[2]HHS_Unaccompanied_Alien_Childre!E310</f>
        <v>6799</v>
      </c>
      <c r="F310">
        <f>[3]HHS_Unaccompanied_Alien_Childre!F310</f>
        <v>214</v>
      </c>
      <c r="G310">
        <f t="shared" si="29"/>
        <v>54</v>
      </c>
      <c r="H310" t="str">
        <f t="shared" si="30"/>
        <v>Increase</v>
      </c>
      <c r="I310">
        <f t="shared" si="28"/>
        <v>-75</v>
      </c>
      <c r="J310">
        <f t="shared" si="31"/>
        <v>6799</v>
      </c>
      <c r="K310">
        <f t="shared" si="32"/>
        <v>6912</v>
      </c>
      <c r="L310">
        <f t="shared" si="33"/>
        <v>7340</v>
      </c>
      <c r="M310">
        <f t="shared" si="34"/>
        <v>6828.5</v>
      </c>
    </row>
    <row r="311" spans="1:13" x14ac:dyDescent="0.3">
      <c r="A311" s="2">
        <f>[1]HHS_Unaccompanied_Alien_Childre!G311</f>
        <v>45405</v>
      </c>
      <c r="B311">
        <f>[2]HHS_Unaccompanied_Alien_Childre!B311</f>
        <v>252</v>
      </c>
      <c r="C311">
        <f>[3]HHS_Unaccompanied_Alien_Childre!C311</f>
        <v>427</v>
      </c>
      <c r="D311">
        <f>[2]HHS_Unaccompanied_Alien_Childre!D311</f>
        <v>307</v>
      </c>
      <c r="E311">
        <f>[2]HHS_Unaccompanied_Alien_Childre!E311</f>
        <v>6967</v>
      </c>
      <c r="F311">
        <f>[3]HHS_Unaccompanied_Alien_Childre!F311</f>
        <v>134</v>
      </c>
      <c r="G311">
        <f t="shared" si="29"/>
        <v>168</v>
      </c>
      <c r="H311" t="str">
        <f t="shared" si="30"/>
        <v>Increase</v>
      </c>
      <c r="I311">
        <f t="shared" si="28"/>
        <v>-55</v>
      </c>
      <c r="J311">
        <f t="shared" si="31"/>
        <v>6967</v>
      </c>
      <c r="K311">
        <f t="shared" si="32"/>
        <v>6630</v>
      </c>
      <c r="L311">
        <f t="shared" si="33"/>
        <v>7346</v>
      </c>
      <c r="M311">
        <f t="shared" si="34"/>
        <v>6714.5</v>
      </c>
    </row>
    <row r="312" spans="1:13" x14ac:dyDescent="0.3">
      <c r="A312" s="2">
        <f>[1]HHS_Unaccompanied_Alien_Childre!G312</f>
        <v>45406</v>
      </c>
      <c r="B312">
        <f>[2]HHS_Unaccompanied_Alien_Childre!B312</f>
        <v>253</v>
      </c>
      <c r="C312">
        <f>[3]HHS_Unaccompanied_Alien_Childre!C312</f>
        <v>411</v>
      </c>
      <c r="D312">
        <f>[2]HHS_Unaccompanied_Alien_Childre!D312</f>
        <v>307</v>
      </c>
      <c r="E312">
        <f>[2]HHS_Unaccompanied_Alien_Childre!E312</f>
        <v>7128</v>
      </c>
      <c r="F312">
        <f>[3]HHS_Unaccompanied_Alien_Childre!F312</f>
        <v>154</v>
      </c>
      <c r="G312">
        <f t="shared" si="29"/>
        <v>161</v>
      </c>
      <c r="H312" t="str">
        <f t="shared" si="30"/>
        <v>Increase</v>
      </c>
      <c r="I312">
        <f t="shared" si="28"/>
        <v>-54</v>
      </c>
      <c r="J312">
        <f t="shared" si="31"/>
        <v>7128</v>
      </c>
      <c r="K312">
        <f t="shared" si="32"/>
        <v>6681</v>
      </c>
      <c r="L312">
        <f t="shared" si="33"/>
        <v>7317</v>
      </c>
      <c r="M312">
        <f t="shared" si="34"/>
        <v>6824</v>
      </c>
    </row>
    <row r="313" spans="1:13" x14ac:dyDescent="0.3">
      <c r="A313" s="2">
        <f>[1]HHS_Unaccompanied_Alien_Childre!G313</f>
        <v>45407</v>
      </c>
      <c r="B313">
        <f>[2]HHS_Unaccompanied_Alien_Childre!B313</f>
        <v>145</v>
      </c>
      <c r="C313">
        <f>[3]HHS_Unaccompanied_Alien_Childre!C313</f>
        <v>357</v>
      </c>
      <c r="D313">
        <f>[2]HHS_Unaccompanied_Alien_Childre!D313</f>
        <v>333</v>
      </c>
      <c r="E313">
        <f>[2]HHS_Unaccompanied_Alien_Childre!E313</f>
        <v>7209</v>
      </c>
      <c r="F313">
        <f>[3]HHS_Unaccompanied_Alien_Childre!F313</f>
        <v>217</v>
      </c>
      <c r="G313">
        <f t="shared" si="29"/>
        <v>81</v>
      </c>
      <c r="H313" t="str">
        <f t="shared" si="30"/>
        <v>Increase</v>
      </c>
      <c r="I313">
        <f t="shared" si="28"/>
        <v>-188</v>
      </c>
      <c r="J313">
        <f t="shared" si="31"/>
        <v>7209</v>
      </c>
      <c r="K313">
        <f t="shared" si="32"/>
        <v>6685</v>
      </c>
      <c r="L313">
        <f t="shared" si="33"/>
        <v>6982</v>
      </c>
      <c r="M313">
        <f t="shared" si="34"/>
        <v>6906.5</v>
      </c>
    </row>
    <row r="314" spans="1:13" x14ac:dyDescent="0.3">
      <c r="A314" s="2">
        <f>[1]HHS_Unaccompanied_Alien_Childre!G314</f>
        <v>45410</v>
      </c>
      <c r="B314">
        <f>[2]HHS_Unaccompanied_Alien_Childre!B314</f>
        <v>158</v>
      </c>
      <c r="C314">
        <f>[3]HHS_Unaccompanied_Alien_Childre!C314</f>
        <v>349</v>
      </c>
      <c r="D314">
        <f>[2]HHS_Unaccompanied_Alien_Childre!D314</f>
        <v>365</v>
      </c>
      <c r="E314">
        <f>[2]HHS_Unaccompanied_Alien_Childre!E314</f>
        <v>7298</v>
      </c>
      <c r="F314">
        <f>[3]HHS_Unaccompanied_Alien_Childre!F314</f>
        <v>250</v>
      </c>
      <c r="G314">
        <f t="shared" si="29"/>
        <v>89</v>
      </c>
      <c r="H314" t="str">
        <f t="shared" si="30"/>
        <v>Increase</v>
      </c>
      <c r="I314">
        <f t="shared" si="28"/>
        <v>-207</v>
      </c>
      <c r="J314">
        <f t="shared" si="31"/>
        <v>7298</v>
      </c>
      <c r="K314">
        <f t="shared" si="32"/>
        <v>6725</v>
      </c>
      <c r="L314">
        <f t="shared" si="33"/>
        <v>6988</v>
      </c>
      <c r="M314">
        <f t="shared" si="34"/>
        <v>6967</v>
      </c>
    </row>
    <row r="315" spans="1:13" x14ac:dyDescent="0.3">
      <c r="A315" s="2">
        <f>[1]HHS_Unaccompanied_Alien_Childre!G315</f>
        <v>45411</v>
      </c>
      <c r="B315">
        <f>[2]HHS_Unaccompanied_Alien_Childre!B315</f>
        <v>140</v>
      </c>
      <c r="C315">
        <f>[3]HHS_Unaccompanied_Alien_Childre!C315</f>
        <v>292</v>
      </c>
      <c r="D315">
        <f>[2]HHS_Unaccompanied_Alien_Childre!D315</f>
        <v>255</v>
      </c>
      <c r="E315">
        <f>[2]HHS_Unaccompanied_Alien_Childre!E315</f>
        <v>7373</v>
      </c>
      <c r="F315">
        <f>[3]HHS_Unaccompanied_Alien_Childre!F315</f>
        <v>187</v>
      </c>
      <c r="G315">
        <f t="shared" si="29"/>
        <v>75</v>
      </c>
      <c r="H315" t="str">
        <f t="shared" si="30"/>
        <v>Increase</v>
      </c>
      <c r="I315">
        <f t="shared" si="28"/>
        <v>-115</v>
      </c>
      <c r="J315">
        <f t="shared" si="31"/>
        <v>7373</v>
      </c>
      <c r="K315">
        <f t="shared" si="32"/>
        <v>6728</v>
      </c>
      <c r="L315">
        <f t="shared" si="33"/>
        <v>7043</v>
      </c>
      <c r="M315">
        <f t="shared" si="34"/>
        <v>7013</v>
      </c>
    </row>
    <row r="316" spans="1:13" x14ac:dyDescent="0.3">
      <c r="A316" s="2">
        <f>[1]HHS_Unaccompanied_Alien_Childre!G316</f>
        <v>45412</v>
      </c>
      <c r="B316">
        <f>[2]HHS_Unaccompanied_Alien_Childre!B316</f>
        <v>220</v>
      </c>
      <c r="C316">
        <f>[3]HHS_Unaccompanied_Alien_Childre!C316</f>
        <v>443</v>
      </c>
      <c r="D316">
        <f>[2]HHS_Unaccompanied_Alien_Childre!D316</f>
        <v>194</v>
      </c>
      <c r="E316">
        <f>[2]HHS_Unaccompanied_Alien_Childre!E316</f>
        <v>7431</v>
      </c>
      <c r="F316">
        <f>[3]HHS_Unaccompanied_Alien_Childre!F316</f>
        <v>135</v>
      </c>
      <c r="G316">
        <f t="shared" si="29"/>
        <v>58</v>
      </c>
      <c r="H316" t="str">
        <f t="shared" si="30"/>
        <v>Increase</v>
      </c>
      <c r="I316">
        <f t="shared" si="28"/>
        <v>26</v>
      </c>
      <c r="J316">
        <f t="shared" si="31"/>
        <v>7431</v>
      </c>
      <c r="K316">
        <f t="shared" si="32"/>
        <v>6745</v>
      </c>
      <c r="L316">
        <f t="shared" si="33"/>
        <v>6999</v>
      </c>
      <c r="M316">
        <f t="shared" si="34"/>
        <v>7059</v>
      </c>
    </row>
    <row r="317" spans="1:13" x14ac:dyDescent="0.3">
      <c r="A317" s="2">
        <f>[1]HHS_Unaccompanied_Alien_Childre!G317</f>
        <v>45413</v>
      </c>
      <c r="B317">
        <f>[2]HHS_Unaccompanied_Alien_Childre!B317</f>
        <v>197</v>
      </c>
      <c r="C317">
        <f>[3]HHS_Unaccompanied_Alien_Childre!C317</f>
        <v>437</v>
      </c>
      <c r="D317">
        <f>[2]HHS_Unaccompanied_Alien_Childre!D317</f>
        <v>295</v>
      </c>
      <c r="E317">
        <f>[2]HHS_Unaccompanied_Alien_Childre!E317</f>
        <v>7508</v>
      </c>
      <c r="F317">
        <f>[3]HHS_Unaccompanied_Alien_Childre!F317</f>
        <v>190</v>
      </c>
      <c r="G317">
        <f t="shared" si="29"/>
        <v>77</v>
      </c>
      <c r="H317" t="str">
        <f t="shared" si="30"/>
        <v>Increase</v>
      </c>
      <c r="I317">
        <f t="shared" si="28"/>
        <v>-98</v>
      </c>
      <c r="J317">
        <f t="shared" si="31"/>
        <v>7508</v>
      </c>
      <c r="K317">
        <f t="shared" si="32"/>
        <v>6799</v>
      </c>
      <c r="L317">
        <f t="shared" si="33"/>
        <v>6912</v>
      </c>
      <c r="M317">
        <f t="shared" si="34"/>
        <v>7115</v>
      </c>
    </row>
    <row r="318" spans="1:13" x14ac:dyDescent="0.3">
      <c r="A318" s="2">
        <f>[1]HHS_Unaccompanied_Alien_Childre!G318</f>
        <v>45414</v>
      </c>
      <c r="B318">
        <f>[2]HHS_Unaccompanied_Alien_Childre!B318</f>
        <v>206</v>
      </c>
      <c r="C318">
        <f>[3]HHS_Unaccompanied_Alien_Childre!C318</f>
        <v>411</v>
      </c>
      <c r="D318">
        <f>[2]HHS_Unaccompanied_Alien_Childre!D318</f>
        <v>293</v>
      </c>
      <c r="E318">
        <f>[2]HHS_Unaccompanied_Alien_Childre!E318</f>
        <v>7577</v>
      </c>
      <c r="F318">
        <f>[3]HHS_Unaccompanied_Alien_Childre!F318</f>
        <v>194</v>
      </c>
      <c r="G318">
        <f t="shared" si="29"/>
        <v>69</v>
      </c>
      <c r="H318" t="str">
        <f t="shared" si="30"/>
        <v>Increase</v>
      </c>
      <c r="I318">
        <f t="shared" si="28"/>
        <v>-87</v>
      </c>
      <c r="J318">
        <f t="shared" si="31"/>
        <v>7577</v>
      </c>
      <c r="K318">
        <f t="shared" si="32"/>
        <v>6967</v>
      </c>
      <c r="L318">
        <f t="shared" si="33"/>
        <v>6630</v>
      </c>
      <c r="M318">
        <f t="shared" si="34"/>
        <v>7237.5</v>
      </c>
    </row>
    <row r="319" spans="1:13" x14ac:dyDescent="0.3">
      <c r="A319" s="2">
        <f>[1]HHS_Unaccompanied_Alien_Childre!G319</f>
        <v>45417</v>
      </c>
      <c r="B319">
        <f>[2]HHS_Unaccompanied_Alien_Childre!B319</f>
        <v>150</v>
      </c>
      <c r="C319">
        <f>[3]HHS_Unaccompanied_Alien_Childre!C319</f>
        <v>315</v>
      </c>
      <c r="D319">
        <f>[2]HHS_Unaccompanied_Alien_Childre!D319</f>
        <v>228</v>
      </c>
      <c r="E319">
        <f>[2]HHS_Unaccompanied_Alien_Childre!E319</f>
        <v>7447</v>
      </c>
      <c r="F319">
        <f>[3]HHS_Unaccompanied_Alien_Childre!F319</f>
        <v>332</v>
      </c>
      <c r="G319">
        <f t="shared" si="29"/>
        <v>-130</v>
      </c>
      <c r="H319" t="str">
        <f t="shared" si="30"/>
        <v>Decrease</v>
      </c>
      <c r="I319">
        <f t="shared" si="28"/>
        <v>-78</v>
      </c>
      <c r="J319">
        <f t="shared" si="31"/>
        <v>7447</v>
      </c>
      <c r="K319">
        <f t="shared" si="32"/>
        <v>7128</v>
      </c>
      <c r="L319">
        <f t="shared" si="33"/>
        <v>6681</v>
      </c>
      <c r="M319">
        <f t="shared" si="34"/>
        <v>7352.5</v>
      </c>
    </row>
    <row r="320" spans="1:13" x14ac:dyDescent="0.3">
      <c r="A320" s="2">
        <f>[1]HHS_Unaccompanied_Alien_Childre!G320</f>
        <v>45418</v>
      </c>
      <c r="B320">
        <f>[2]HHS_Unaccompanied_Alien_Childre!B320</f>
        <v>173</v>
      </c>
      <c r="C320">
        <f>[3]HHS_Unaccompanied_Alien_Childre!C320</f>
        <v>337</v>
      </c>
      <c r="D320">
        <f>[2]HHS_Unaccompanied_Alien_Childre!D320</f>
        <v>211</v>
      </c>
      <c r="E320">
        <f>[2]HHS_Unaccompanied_Alien_Childre!E320</f>
        <v>7449</v>
      </c>
      <c r="F320">
        <f>[3]HHS_Unaccompanied_Alien_Childre!F320</f>
        <v>205</v>
      </c>
      <c r="G320">
        <f t="shared" si="29"/>
        <v>2</v>
      </c>
      <c r="H320" t="str">
        <f t="shared" si="30"/>
        <v>Increase</v>
      </c>
      <c r="I320">
        <f t="shared" si="28"/>
        <v>-38</v>
      </c>
      <c r="J320">
        <f t="shared" si="31"/>
        <v>7449</v>
      </c>
      <c r="K320">
        <f t="shared" si="32"/>
        <v>7209</v>
      </c>
      <c r="L320">
        <f t="shared" si="33"/>
        <v>6685</v>
      </c>
      <c r="M320">
        <f t="shared" si="34"/>
        <v>7328</v>
      </c>
    </row>
    <row r="321" spans="1:13" x14ac:dyDescent="0.3">
      <c r="A321" s="2">
        <f>[1]HHS_Unaccompanied_Alien_Childre!G321</f>
        <v>45419</v>
      </c>
      <c r="B321">
        <f>[2]HHS_Unaccompanied_Alien_Childre!B321</f>
        <v>176</v>
      </c>
      <c r="C321">
        <f>[3]HHS_Unaccompanied_Alien_Childre!C321</f>
        <v>334</v>
      </c>
      <c r="D321">
        <f>[2]HHS_Unaccompanied_Alien_Childre!D321</f>
        <v>246</v>
      </c>
      <c r="E321">
        <f>[2]HHS_Unaccompanied_Alien_Childre!E321</f>
        <v>7566</v>
      </c>
      <c r="F321">
        <f>[3]HHS_Unaccompanied_Alien_Childre!F321</f>
        <v>163</v>
      </c>
      <c r="G321">
        <f t="shared" si="29"/>
        <v>117</v>
      </c>
      <c r="H321" t="str">
        <f t="shared" si="30"/>
        <v>Increase</v>
      </c>
      <c r="I321">
        <f t="shared" si="28"/>
        <v>-70</v>
      </c>
      <c r="J321">
        <f t="shared" si="31"/>
        <v>7566</v>
      </c>
      <c r="K321">
        <f t="shared" si="32"/>
        <v>7298</v>
      </c>
      <c r="L321">
        <f t="shared" si="33"/>
        <v>6725</v>
      </c>
      <c r="M321">
        <f t="shared" si="34"/>
        <v>7373.5</v>
      </c>
    </row>
    <row r="322" spans="1:13" x14ac:dyDescent="0.3">
      <c r="A322" s="2">
        <f>[1]HHS_Unaccompanied_Alien_Childre!G322</f>
        <v>45420</v>
      </c>
      <c r="B322">
        <f>[2]HHS_Unaccompanied_Alien_Childre!B322</f>
        <v>167</v>
      </c>
      <c r="C322">
        <f>[3]HHS_Unaccompanied_Alien_Childre!C322</f>
        <v>374</v>
      </c>
      <c r="D322">
        <f>[2]HHS_Unaccompanied_Alien_Childre!D322</f>
        <v>205</v>
      </c>
      <c r="E322">
        <f>[2]HHS_Unaccompanied_Alien_Childre!E322</f>
        <v>7583</v>
      </c>
      <c r="F322">
        <f>[3]HHS_Unaccompanied_Alien_Childre!F322</f>
        <v>202</v>
      </c>
      <c r="G322">
        <f t="shared" si="29"/>
        <v>17</v>
      </c>
      <c r="H322" t="str">
        <f t="shared" si="30"/>
        <v>Increase</v>
      </c>
      <c r="I322">
        <f t="shared" si="28"/>
        <v>-38</v>
      </c>
      <c r="J322">
        <f t="shared" si="31"/>
        <v>7583</v>
      </c>
      <c r="K322">
        <f t="shared" si="32"/>
        <v>7373</v>
      </c>
      <c r="L322">
        <f t="shared" si="33"/>
        <v>6728</v>
      </c>
      <c r="M322">
        <f t="shared" si="34"/>
        <v>7469.5</v>
      </c>
    </row>
    <row r="323" spans="1:13" x14ac:dyDescent="0.3">
      <c r="A323" s="2">
        <f>[1]HHS_Unaccompanied_Alien_Childre!G323</f>
        <v>45421</v>
      </c>
      <c r="B323">
        <f>[2]HHS_Unaccompanied_Alien_Childre!B323</f>
        <v>138</v>
      </c>
      <c r="C323">
        <f>[3]HHS_Unaccompanied_Alien_Childre!C323</f>
        <v>285</v>
      </c>
      <c r="D323">
        <f>[2]HHS_Unaccompanied_Alien_Childre!D323</f>
        <v>268</v>
      </c>
      <c r="E323">
        <f>[2]HHS_Unaccompanied_Alien_Childre!E323</f>
        <v>7570</v>
      </c>
      <c r="F323">
        <f>[3]HHS_Unaccompanied_Alien_Childre!F323</f>
        <v>244</v>
      </c>
      <c r="G323">
        <f t="shared" si="29"/>
        <v>-13</v>
      </c>
      <c r="H323" t="str">
        <f t="shared" si="30"/>
        <v>Decrease</v>
      </c>
      <c r="I323">
        <f t="shared" ref="I323:I386" si="35">B323-D323</f>
        <v>-130</v>
      </c>
      <c r="J323">
        <f t="shared" si="31"/>
        <v>7570</v>
      </c>
      <c r="K323">
        <f t="shared" si="32"/>
        <v>7431</v>
      </c>
      <c r="L323">
        <f t="shared" si="33"/>
        <v>6745</v>
      </c>
      <c r="M323">
        <f t="shared" si="34"/>
        <v>7507</v>
      </c>
    </row>
    <row r="324" spans="1:13" x14ac:dyDescent="0.3">
      <c r="A324" s="2">
        <f>[1]HHS_Unaccompanied_Alien_Childre!G324</f>
        <v>45424</v>
      </c>
      <c r="B324">
        <f>[2]HHS_Unaccompanied_Alien_Childre!B324</f>
        <v>138</v>
      </c>
      <c r="C324">
        <f>[3]HHS_Unaccompanied_Alien_Childre!C324</f>
        <v>301</v>
      </c>
      <c r="D324">
        <f>[2]HHS_Unaccompanied_Alien_Childre!D324</f>
        <v>263</v>
      </c>
      <c r="E324">
        <f>[2]HHS_Unaccompanied_Alien_Childre!E324</f>
        <v>7464</v>
      </c>
      <c r="F324">
        <f>[3]HHS_Unaccompanied_Alien_Childre!F324</f>
        <v>245</v>
      </c>
      <c r="G324">
        <f t="shared" ref="G324:G387" si="36">E324-E323</f>
        <v>-106</v>
      </c>
      <c r="H324" t="str">
        <f t="shared" ref="H324:H387" si="37">IF(G324&gt;0,"Increase",IF(G324&lt;0,"Decrease","No Change"))</f>
        <v>Decrease</v>
      </c>
      <c r="I324">
        <f t="shared" si="35"/>
        <v>-125</v>
      </c>
      <c r="J324">
        <f t="shared" si="31"/>
        <v>7464</v>
      </c>
      <c r="K324">
        <f t="shared" si="32"/>
        <v>7508</v>
      </c>
      <c r="L324">
        <f t="shared" si="33"/>
        <v>6799</v>
      </c>
      <c r="M324">
        <f t="shared" si="34"/>
        <v>7539</v>
      </c>
    </row>
    <row r="325" spans="1:13" x14ac:dyDescent="0.3">
      <c r="A325" s="2">
        <f>[1]HHS_Unaccompanied_Alien_Childre!G325</f>
        <v>45425</v>
      </c>
      <c r="B325">
        <f>[2]HHS_Unaccompanied_Alien_Childre!B325</f>
        <v>112</v>
      </c>
      <c r="C325">
        <f>[3]HHS_Unaccompanied_Alien_Childre!C325</f>
        <v>331</v>
      </c>
      <c r="D325">
        <f>[2]HHS_Unaccompanied_Alien_Childre!D325</f>
        <v>167</v>
      </c>
      <c r="E325">
        <f>[2]HHS_Unaccompanied_Alien_Childre!E325</f>
        <v>7499</v>
      </c>
      <c r="F325">
        <f>[3]HHS_Unaccompanied_Alien_Childre!F325</f>
        <v>157</v>
      </c>
      <c r="G325">
        <f t="shared" si="36"/>
        <v>35</v>
      </c>
      <c r="H325" t="str">
        <f t="shared" si="37"/>
        <v>Increase</v>
      </c>
      <c r="I325">
        <f t="shared" si="35"/>
        <v>-55</v>
      </c>
      <c r="J325">
        <f t="shared" si="31"/>
        <v>7499</v>
      </c>
      <c r="K325">
        <f t="shared" si="32"/>
        <v>7577</v>
      </c>
      <c r="L325">
        <f t="shared" si="33"/>
        <v>6967</v>
      </c>
      <c r="M325">
        <f t="shared" si="34"/>
        <v>7520.5</v>
      </c>
    </row>
    <row r="326" spans="1:13" x14ac:dyDescent="0.3">
      <c r="A326" s="2">
        <f>[1]HHS_Unaccompanied_Alien_Childre!G326</f>
        <v>45426</v>
      </c>
      <c r="B326">
        <f>[2]HHS_Unaccompanied_Alien_Childre!B326</f>
        <v>246</v>
      </c>
      <c r="C326">
        <f>[3]HHS_Unaccompanied_Alien_Childre!C326</f>
        <v>419</v>
      </c>
      <c r="D326">
        <f>[2]HHS_Unaccompanied_Alien_Childre!D326</f>
        <v>218</v>
      </c>
      <c r="E326">
        <f>[2]HHS_Unaccompanied_Alien_Childre!E326</f>
        <v>7546</v>
      </c>
      <c r="F326">
        <f>[3]HHS_Unaccompanied_Alien_Childre!F326</f>
        <v>186</v>
      </c>
      <c r="G326">
        <f t="shared" si="36"/>
        <v>47</v>
      </c>
      <c r="H326" t="str">
        <f t="shared" si="37"/>
        <v>Increase</v>
      </c>
      <c r="I326">
        <f t="shared" si="35"/>
        <v>28</v>
      </c>
      <c r="J326">
        <f t="shared" si="31"/>
        <v>7546</v>
      </c>
      <c r="K326">
        <f t="shared" si="32"/>
        <v>7447</v>
      </c>
      <c r="L326">
        <f t="shared" si="33"/>
        <v>7128</v>
      </c>
      <c r="M326">
        <f t="shared" si="34"/>
        <v>7473</v>
      </c>
    </row>
    <row r="327" spans="1:13" x14ac:dyDescent="0.3">
      <c r="A327" s="2">
        <f>[1]HHS_Unaccompanied_Alien_Childre!G327</f>
        <v>45427</v>
      </c>
      <c r="B327">
        <f>[2]HHS_Unaccompanied_Alien_Childre!B327</f>
        <v>115</v>
      </c>
      <c r="C327">
        <f>[3]HHS_Unaccompanied_Alien_Childre!C327</f>
        <v>285</v>
      </c>
      <c r="D327">
        <f>[2]HHS_Unaccompanied_Alien_Childre!D327</f>
        <v>341</v>
      </c>
      <c r="E327">
        <f>[2]HHS_Unaccompanied_Alien_Childre!E327</f>
        <v>7589</v>
      </c>
      <c r="F327">
        <f>[3]HHS_Unaccompanied_Alien_Childre!F327</f>
        <v>265</v>
      </c>
      <c r="G327">
        <f t="shared" si="36"/>
        <v>43</v>
      </c>
      <c r="H327" t="str">
        <f t="shared" si="37"/>
        <v>Increase</v>
      </c>
      <c r="I327">
        <f t="shared" si="35"/>
        <v>-226</v>
      </c>
      <c r="J327">
        <f t="shared" si="31"/>
        <v>7589</v>
      </c>
      <c r="K327">
        <f t="shared" si="32"/>
        <v>7449</v>
      </c>
      <c r="L327">
        <f t="shared" si="33"/>
        <v>7209</v>
      </c>
      <c r="M327">
        <f t="shared" si="34"/>
        <v>7497.5</v>
      </c>
    </row>
    <row r="328" spans="1:13" x14ac:dyDescent="0.3">
      <c r="A328" s="2">
        <f>[1]HHS_Unaccompanied_Alien_Childre!G328</f>
        <v>45428</v>
      </c>
      <c r="B328">
        <f>[2]HHS_Unaccompanied_Alien_Childre!B328</f>
        <v>206</v>
      </c>
      <c r="C328">
        <f>[3]HHS_Unaccompanied_Alien_Childre!C328</f>
        <v>340</v>
      </c>
      <c r="D328">
        <f>[2]HHS_Unaccompanied_Alien_Childre!D328</f>
        <v>214</v>
      </c>
      <c r="E328">
        <f>[2]HHS_Unaccompanied_Alien_Childre!E328</f>
        <v>7565</v>
      </c>
      <c r="F328">
        <f>[3]HHS_Unaccompanied_Alien_Childre!F328</f>
        <v>234</v>
      </c>
      <c r="G328">
        <f t="shared" si="36"/>
        <v>-24</v>
      </c>
      <c r="H328" t="str">
        <f t="shared" si="37"/>
        <v>Decrease</v>
      </c>
      <c r="I328">
        <f t="shared" si="35"/>
        <v>-8</v>
      </c>
      <c r="J328">
        <f t="shared" si="31"/>
        <v>7565</v>
      </c>
      <c r="K328">
        <f t="shared" si="32"/>
        <v>7566</v>
      </c>
      <c r="L328">
        <f t="shared" si="33"/>
        <v>7298</v>
      </c>
      <c r="M328">
        <f t="shared" si="34"/>
        <v>7577.5</v>
      </c>
    </row>
    <row r="329" spans="1:13" x14ac:dyDescent="0.3">
      <c r="A329" s="2">
        <f>[1]HHS_Unaccompanied_Alien_Childre!G329</f>
        <v>45431</v>
      </c>
      <c r="B329">
        <f>[2]HHS_Unaccompanied_Alien_Childre!B329</f>
        <v>143</v>
      </c>
      <c r="C329">
        <f>[3]HHS_Unaccompanied_Alien_Childre!C329</f>
        <v>295</v>
      </c>
      <c r="D329">
        <f>[2]HHS_Unaccompanied_Alien_Childre!D329</f>
        <v>278</v>
      </c>
      <c r="E329">
        <f>[2]HHS_Unaccompanied_Alien_Childre!E329</f>
        <v>7356</v>
      </c>
      <c r="F329">
        <f>[3]HHS_Unaccompanied_Alien_Childre!F329</f>
        <v>298</v>
      </c>
      <c r="G329">
        <f t="shared" si="36"/>
        <v>-209</v>
      </c>
      <c r="H329" t="str">
        <f t="shared" si="37"/>
        <v>Decrease</v>
      </c>
      <c r="I329">
        <f t="shared" si="35"/>
        <v>-135</v>
      </c>
      <c r="J329">
        <f t="shared" si="31"/>
        <v>7356</v>
      </c>
      <c r="K329">
        <f t="shared" si="32"/>
        <v>7583</v>
      </c>
      <c r="L329">
        <f t="shared" si="33"/>
        <v>7373</v>
      </c>
      <c r="M329">
        <f t="shared" si="34"/>
        <v>7574</v>
      </c>
    </row>
    <row r="330" spans="1:13" x14ac:dyDescent="0.3">
      <c r="A330" s="2">
        <f>[1]HHS_Unaccompanied_Alien_Childre!G330</f>
        <v>45432</v>
      </c>
      <c r="B330">
        <f>[2]HHS_Unaccompanied_Alien_Childre!B330</f>
        <v>111</v>
      </c>
      <c r="C330">
        <f>[3]HHS_Unaccompanied_Alien_Childre!C330</f>
        <v>268</v>
      </c>
      <c r="D330">
        <f>[2]HHS_Unaccompanied_Alien_Childre!D330</f>
        <v>217</v>
      </c>
      <c r="E330">
        <f>[2]HHS_Unaccompanied_Alien_Childre!E330</f>
        <v>7368</v>
      </c>
      <c r="F330">
        <f>[3]HHS_Unaccompanied_Alien_Childre!F330</f>
        <v>192</v>
      </c>
      <c r="G330">
        <f t="shared" si="36"/>
        <v>12</v>
      </c>
      <c r="H330" t="str">
        <f t="shared" si="37"/>
        <v>Increase</v>
      </c>
      <c r="I330">
        <f t="shared" si="35"/>
        <v>-106</v>
      </c>
      <c r="J330">
        <f t="shared" si="31"/>
        <v>7368</v>
      </c>
      <c r="K330">
        <f t="shared" si="32"/>
        <v>7570</v>
      </c>
      <c r="L330">
        <f t="shared" si="33"/>
        <v>7431</v>
      </c>
      <c r="M330">
        <f t="shared" si="34"/>
        <v>7463</v>
      </c>
    </row>
    <row r="331" spans="1:13" x14ac:dyDescent="0.3">
      <c r="A331" s="2">
        <f>[1]HHS_Unaccompanied_Alien_Childre!G331</f>
        <v>45433</v>
      </c>
      <c r="B331">
        <f>[2]HHS_Unaccompanied_Alien_Childre!B331</f>
        <v>196</v>
      </c>
      <c r="C331">
        <f>[3]HHS_Unaccompanied_Alien_Childre!C331</f>
        <v>348</v>
      </c>
      <c r="D331">
        <f>[2]HHS_Unaccompanied_Alien_Childre!D331</f>
        <v>176</v>
      </c>
      <c r="E331">
        <f>[2]HHS_Unaccompanied_Alien_Childre!E331</f>
        <v>7404</v>
      </c>
      <c r="F331">
        <f>[3]HHS_Unaccompanied_Alien_Childre!F331</f>
        <v>145</v>
      </c>
      <c r="G331">
        <f t="shared" si="36"/>
        <v>36</v>
      </c>
      <c r="H331" t="str">
        <f t="shared" si="37"/>
        <v>Increase</v>
      </c>
      <c r="I331">
        <f t="shared" si="35"/>
        <v>20</v>
      </c>
      <c r="J331">
        <f t="shared" si="31"/>
        <v>7404</v>
      </c>
      <c r="K331">
        <f t="shared" si="32"/>
        <v>7464</v>
      </c>
      <c r="L331">
        <f t="shared" si="33"/>
        <v>7508</v>
      </c>
      <c r="M331">
        <f t="shared" si="34"/>
        <v>7416</v>
      </c>
    </row>
    <row r="332" spans="1:13" x14ac:dyDescent="0.3">
      <c r="A332" s="2">
        <f>[1]HHS_Unaccompanied_Alien_Childre!G332</f>
        <v>45434</v>
      </c>
      <c r="B332">
        <f>[2]HHS_Unaccompanied_Alien_Childre!B332</f>
        <v>168</v>
      </c>
      <c r="C332">
        <f>[3]HHS_Unaccompanied_Alien_Childre!C332</f>
        <v>349</v>
      </c>
      <c r="D332">
        <f>[2]HHS_Unaccompanied_Alien_Childre!D332</f>
        <v>272</v>
      </c>
      <c r="E332">
        <f>[2]HHS_Unaccompanied_Alien_Childre!E332</f>
        <v>7474</v>
      </c>
      <c r="F332">
        <f>[3]HHS_Unaccompanied_Alien_Childre!F332</f>
        <v>208</v>
      </c>
      <c r="G332">
        <f t="shared" si="36"/>
        <v>70</v>
      </c>
      <c r="H332" t="str">
        <f t="shared" si="37"/>
        <v>Increase</v>
      </c>
      <c r="I332">
        <f t="shared" si="35"/>
        <v>-104</v>
      </c>
      <c r="J332">
        <f t="shared" si="31"/>
        <v>7474</v>
      </c>
      <c r="K332">
        <f t="shared" si="32"/>
        <v>7499</v>
      </c>
      <c r="L332">
        <f t="shared" si="33"/>
        <v>7577</v>
      </c>
      <c r="M332">
        <f t="shared" si="34"/>
        <v>7451.5</v>
      </c>
    </row>
    <row r="333" spans="1:13" x14ac:dyDescent="0.3">
      <c r="A333" s="2">
        <f>[1]HHS_Unaccompanied_Alien_Childre!G333</f>
        <v>45435</v>
      </c>
      <c r="B333">
        <f>[2]HHS_Unaccompanied_Alien_Childre!B333</f>
        <v>193</v>
      </c>
      <c r="C333">
        <f>[3]HHS_Unaccompanied_Alien_Childre!C333</f>
        <v>272</v>
      </c>
      <c r="D333">
        <f>[2]HHS_Unaccompanied_Alien_Childre!D333</f>
        <v>314</v>
      </c>
      <c r="E333">
        <f>[2]HHS_Unaccompanied_Alien_Childre!E333</f>
        <v>7494</v>
      </c>
      <c r="F333">
        <f>[3]HHS_Unaccompanied_Alien_Childre!F333</f>
        <v>227</v>
      </c>
      <c r="G333">
        <f t="shared" si="36"/>
        <v>20</v>
      </c>
      <c r="H333" t="str">
        <f t="shared" si="37"/>
        <v>Increase</v>
      </c>
      <c r="I333">
        <f t="shared" si="35"/>
        <v>-121</v>
      </c>
      <c r="J333">
        <f t="shared" si="31"/>
        <v>7494</v>
      </c>
      <c r="K333">
        <f t="shared" si="32"/>
        <v>7546</v>
      </c>
      <c r="L333">
        <f t="shared" si="33"/>
        <v>7447</v>
      </c>
      <c r="M333">
        <f t="shared" si="34"/>
        <v>7510</v>
      </c>
    </row>
    <row r="334" spans="1:13" x14ac:dyDescent="0.3">
      <c r="A334" s="2">
        <f>[1]HHS_Unaccompanied_Alien_Childre!G334</f>
        <v>45439</v>
      </c>
      <c r="B334">
        <f>[2]HHS_Unaccompanied_Alien_Childre!B334</f>
        <v>156</v>
      </c>
      <c r="C334">
        <f>[3]HHS_Unaccompanied_Alien_Childre!C334</f>
        <v>344</v>
      </c>
      <c r="D334">
        <f>[2]HHS_Unaccompanied_Alien_Childre!D334</f>
        <v>252</v>
      </c>
      <c r="E334">
        <f>[2]HHS_Unaccompanied_Alien_Childre!E334</f>
        <v>7365</v>
      </c>
      <c r="F334">
        <f>[3]HHS_Unaccompanied_Alien_Childre!F334</f>
        <v>167</v>
      </c>
      <c r="G334">
        <f t="shared" si="36"/>
        <v>-129</v>
      </c>
      <c r="H334" t="str">
        <f t="shared" si="37"/>
        <v>Decrease</v>
      </c>
      <c r="I334">
        <f t="shared" si="35"/>
        <v>-96</v>
      </c>
      <c r="J334">
        <f t="shared" si="31"/>
        <v>7365</v>
      </c>
      <c r="K334">
        <f t="shared" si="32"/>
        <v>7589</v>
      </c>
      <c r="L334">
        <f t="shared" si="33"/>
        <v>7449</v>
      </c>
      <c r="M334">
        <f t="shared" si="34"/>
        <v>7541.5</v>
      </c>
    </row>
    <row r="335" spans="1:13" x14ac:dyDescent="0.3">
      <c r="A335" s="2">
        <f>[1]HHS_Unaccompanied_Alien_Childre!G335</f>
        <v>45440</v>
      </c>
      <c r="B335">
        <f>[2]HHS_Unaccompanied_Alien_Childre!B335</f>
        <v>153</v>
      </c>
      <c r="C335">
        <f>[3]HHS_Unaccompanied_Alien_Childre!C335</f>
        <v>348</v>
      </c>
      <c r="D335">
        <f>[2]HHS_Unaccompanied_Alien_Childre!D335</f>
        <v>239</v>
      </c>
      <c r="E335">
        <f>[2]HHS_Unaccompanied_Alien_Childre!E335</f>
        <v>7418</v>
      </c>
      <c r="F335">
        <f>[3]HHS_Unaccompanied_Alien_Childre!F335</f>
        <v>151</v>
      </c>
      <c r="G335">
        <f t="shared" si="36"/>
        <v>53</v>
      </c>
      <c r="H335" t="str">
        <f t="shared" si="37"/>
        <v>Increase</v>
      </c>
      <c r="I335">
        <f t="shared" si="35"/>
        <v>-86</v>
      </c>
      <c r="J335">
        <f t="shared" si="31"/>
        <v>7418</v>
      </c>
      <c r="K335">
        <f t="shared" si="32"/>
        <v>7565</v>
      </c>
      <c r="L335">
        <f t="shared" si="33"/>
        <v>7566</v>
      </c>
      <c r="M335">
        <f t="shared" si="34"/>
        <v>7465</v>
      </c>
    </row>
    <row r="336" spans="1:13" x14ac:dyDescent="0.3">
      <c r="A336" s="2">
        <f>[1]HHS_Unaccompanied_Alien_Childre!G336</f>
        <v>45441</v>
      </c>
      <c r="B336">
        <f>[2]HHS_Unaccompanied_Alien_Childre!B336</f>
        <v>182</v>
      </c>
      <c r="C336">
        <f>[3]HHS_Unaccompanied_Alien_Childre!C336</f>
        <v>462</v>
      </c>
      <c r="D336">
        <f>[2]HHS_Unaccompanied_Alien_Childre!D336</f>
        <v>158</v>
      </c>
      <c r="E336">
        <f>[2]HHS_Unaccompanied_Alien_Childre!E336</f>
        <v>7491</v>
      </c>
      <c r="F336">
        <f>[3]HHS_Unaccompanied_Alien_Childre!F336</f>
        <v>141</v>
      </c>
      <c r="G336">
        <f t="shared" si="36"/>
        <v>73</v>
      </c>
      <c r="H336" t="str">
        <f t="shared" si="37"/>
        <v>Increase</v>
      </c>
      <c r="I336">
        <f t="shared" si="35"/>
        <v>24</v>
      </c>
      <c r="J336">
        <f t="shared" si="31"/>
        <v>7491</v>
      </c>
      <c r="K336">
        <f t="shared" si="32"/>
        <v>7356</v>
      </c>
      <c r="L336">
        <f t="shared" si="33"/>
        <v>7583</v>
      </c>
      <c r="M336">
        <f t="shared" si="34"/>
        <v>7387</v>
      </c>
    </row>
    <row r="337" spans="1:13" x14ac:dyDescent="0.3">
      <c r="A337" s="2">
        <f>[1]HHS_Unaccompanied_Alien_Childre!G337</f>
        <v>45442</v>
      </c>
      <c r="B337">
        <f>[2]HHS_Unaccompanied_Alien_Childre!B337</f>
        <v>167</v>
      </c>
      <c r="C337">
        <f>[3]HHS_Unaccompanied_Alien_Childre!C337</f>
        <v>406</v>
      </c>
      <c r="D337">
        <f>[2]HHS_Unaccompanied_Alien_Childre!D337</f>
        <v>339</v>
      </c>
      <c r="E337">
        <f>[2]HHS_Unaccompanied_Alien_Childre!E337</f>
        <v>7563</v>
      </c>
      <c r="F337">
        <f>[3]HHS_Unaccompanied_Alien_Childre!F337</f>
        <v>190</v>
      </c>
      <c r="G337">
        <f t="shared" si="36"/>
        <v>72</v>
      </c>
      <c r="H337" t="str">
        <f t="shared" si="37"/>
        <v>Increase</v>
      </c>
      <c r="I337">
        <f t="shared" si="35"/>
        <v>-172</v>
      </c>
      <c r="J337">
        <f t="shared" ref="J337:J400" si="38">E337</f>
        <v>7563</v>
      </c>
      <c r="K337">
        <f t="shared" ref="K337:K400" si="39">E330</f>
        <v>7368</v>
      </c>
      <c r="L337">
        <f t="shared" ref="L337:L400" si="40">E323</f>
        <v>7570</v>
      </c>
      <c r="M337">
        <f t="shared" ref="M337:M400" si="41">AVERAGE(E330,E336)</f>
        <v>7429.5</v>
      </c>
    </row>
    <row r="338" spans="1:13" x14ac:dyDescent="0.3">
      <c r="A338" s="2">
        <f>[1]HHS_Unaccompanied_Alien_Childre!G338</f>
        <v>45445</v>
      </c>
      <c r="B338">
        <f>[2]HHS_Unaccompanied_Alien_Childre!B338</f>
        <v>159</v>
      </c>
      <c r="C338">
        <f>[3]HHS_Unaccompanied_Alien_Childre!C338</f>
        <v>330</v>
      </c>
      <c r="D338">
        <f>[2]HHS_Unaccompanied_Alien_Childre!D338</f>
        <v>322</v>
      </c>
      <c r="E338">
        <f>[2]HHS_Unaccompanied_Alien_Childre!E338</f>
        <v>7546</v>
      </c>
      <c r="F338">
        <f>[3]HHS_Unaccompanied_Alien_Childre!F338</f>
        <v>306</v>
      </c>
      <c r="G338">
        <f t="shared" si="36"/>
        <v>-17</v>
      </c>
      <c r="H338" t="str">
        <f t="shared" si="37"/>
        <v>Decrease</v>
      </c>
      <c r="I338">
        <f t="shared" si="35"/>
        <v>-163</v>
      </c>
      <c r="J338">
        <f t="shared" si="38"/>
        <v>7546</v>
      </c>
      <c r="K338">
        <f t="shared" si="39"/>
        <v>7404</v>
      </c>
      <c r="L338">
        <f t="shared" si="40"/>
        <v>7464</v>
      </c>
      <c r="M338">
        <f t="shared" si="41"/>
        <v>7483.5</v>
      </c>
    </row>
    <row r="339" spans="1:13" x14ac:dyDescent="0.3">
      <c r="A339" s="2">
        <f>[1]HHS_Unaccompanied_Alien_Childre!G339</f>
        <v>45446</v>
      </c>
      <c r="B339">
        <f>[2]HHS_Unaccompanied_Alien_Childre!B339</f>
        <v>109</v>
      </c>
      <c r="C339">
        <f>[3]HHS_Unaccompanied_Alien_Childre!C339</f>
        <v>244</v>
      </c>
      <c r="D339">
        <f>[2]HHS_Unaccompanied_Alien_Childre!D339</f>
        <v>257</v>
      </c>
      <c r="E339">
        <f>[2]HHS_Unaccompanied_Alien_Childre!E339</f>
        <v>7596</v>
      </c>
      <c r="F339">
        <f>[3]HHS_Unaccompanied_Alien_Childre!F339</f>
        <v>224</v>
      </c>
      <c r="G339">
        <f t="shared" si="36"/>
        <v>50</v>
      </c>
      <c r="H339" t="str">
        <f t="shared" si="37"/>
        <v>Increase</v>
      </c>
      <c r="I339">
        <f t="shared" si="35"/>
        <v>-148</v>
      </c>
      <c r="J339">
        <f t="shared" si="38"/>
        <v>7596</v>
      </c>
      <c r="K339">
        <f t="shared" si="39"/>
        <v>7474</v>
      </c>
      <c r="L339">
        <f t="shared" si="40"/>
        <v>7499</v>
      </c>
      <c r="M339">
        <f t="shared" si="41"/>
        <v>7510</v>
      </c>
    </row>
    <row r="340" spans="1:13" x14ac:dyDescent="0.3">
      <c r="A340" s="2">
        <f>[1]HHS_Unaccompanied_Alien_Childre!G340</f>
        <v>45447</v>
      </c>
      <c r="B340">
        <f>[2]HHS_Unaccompanied_Alien_Childre!B340</f>
        <v>260</v>
      </c>
      <c r="C340">
        <f>[3]HHS_Unaccompanied_Alien_Childre!C340</f>
        <v>356</v>
      </c>
      <c r="D340">
        <f>[2]HHS_Unaccompanied_Alien_Childre!D340</f>
        <v>176</v>
      </c>
      <c r="E340">
        <f>[2]HHS_Unaccompanied_Alien_Childre!E340</f>
        <v>7565</v>
      </c>
      <c r="F340">
        <f>[3]HHS_Unaccompanied_Alien_Childre!F340</f>
        <v>203</v>
      </c>
      <c r="G340">
        <f t="shared" si="36"/>
        <v>-31</v>
      </c>
      <c r="H340" t="str">
        <f t="shared" si="37"/>
        <v>Decrease</v>
      </c>
      <c r="I340">
        <f t="shared" si="35"/>
        <v>84</v>
      </c>
      <c r="J340">
        <f t="shared" si="38"/>
        <v>7565</v>
      </c>
      <c r="K340">
        <f t="shared" si="39"/>
        <v>7494</v>
      </c>
      <c r="L340">
        <f t="shared" si="40"/>
        <v>7546</v>
      </c>
      <c r="M340">
        <f t="shared" si="41"/>
        <v>7545</v>
      </c>
    </row>
    <row r="341" spans="1:13" x14ac:dyDescent="0.3">
      <c r="A341" s="2">
        <f>[1]HHS_Unaccompanied_Alien_Childre!G341</f>
        <v>45448</v>
      </c>
      <c r="B341">
        <f>[2]HHS_Unaccompanied_Alien_Childre!B341</f>
        <v>173</v>
      </c>
      <c r="C341">
        <f>[3]HHS_Unaccompanied_Alien_Childre!C341</f>
        <v>345</v>
      </c>
      <c r="D341">
        <f>[2]HHS_Unaccompanied_Alien_Childre!D341</f>
        <v>291</v>
      </c>
      <c r="E341">
        <f>[2]HHS_Unaccompanied_Alien_Childre!E341</f>
        <v>7691</v>
      </c>
      <c r="F341">
        <f>[3]HHS_Unaccompanied_Alien_Childre!F341</f>
        <v>198</v>
      </c>
      <c r="G341">
        <f t="shared" si="36"/>
        <v>126</v>
      </c>
      <c r="H341" t="str">
        <f t="shared" si="37"/>
        <v>Increase</v>
      </c>
      <c r="I341">
        <f t="shared" si="35"/>
        <v>-118</v>
      </c>
      <c r="J341">
        <f t="shared" si="38"/>
        <v>7691</v>
      </c>
      <c r="K341">
        <f t="shared" si="39"/>
        <v>7365</v>
      </c>
      <c r="L341">
        <f t="shared" si="40"/>
        <v>7589</v>
      </c>
      <c r="M341">
        <f t="shared" si="41"/>
        <v>7465</v>
      </c>
    </row>
    <row r="342" spans="1:13" x14ac:dyDescent="0.3">
      <c r="A342" s="2">
        <f>[1]HHS_Unaccompanied_Alien_Childre!G342</f>
        <v>45449</v>
      </c>
      <c r="B342">
        <f>[2]HHS_Unaccompanied_Alien_Childre!B342</f>
        <v>179</v>
      </c>
      <c r="C342">
        <f>[3]HHS_Unaccompanied_Alien_Childre!C342</f>
        <v>326</v>
      </c>
      <c r="D342">
        <f>[2]HHS_Unaccompanied_Alien_Childre!D342</f>
        <v>282</v>
      </c>
      <c r="E342">
        <f>[2]HHS_Unaccompanied_Alien_Childre!E342</f>
        <v>7741</v>
      </c>
      <c r="F342">
        <f>[3]HHS_Unaccompanied_Alien_Childre!F342</f>
        <v>238</v>
      </c>
      <c r="G342">
        <f t="shared" si="36"/>
        <v>50</v>
      </c>
      <c r="H342" t="str">
        <f t="shared" si="37"/>
        <v>Increase</v>
      </c>
      <c r="I342">
        <f t="shared" si="35"/>
        <v>-103</v>
      </c>
      <c r="J342">
        <f t="shared" si="38"/>
        <v>7741</v>
      </c>
      <c r="K342">
        <f t="shared" si="39"/>
        <v>7418</v>
      </c>
      <c r="L342">
        <f t="shared" si="40"/>
        <v>7565</v>
      </c>
      <c r="M342">
        <f t="shared" si="41"/>
        <v>7554.5</v>
      </c>
    </row>
    <row r="343" spans="1:13" x14ac:dyDescent="0.3">
      <c r="A343" s="2">
        <f>[1]HHS_Unaccompanied_Alien_Childre!G343</f>
        <v>45452</v>
      </c>
      <c r="B343">
        <f>[2]HHS_Unaccompanied_Alien_Childre!B343</f>
        <v>116</v>
      </c>
      <c r="C343">
        <f>[3]HHS_Unaccompanied_Alien_Childre!C343</f>
        <v>289</v>
      </c>
      <c r="D343">
        <f>[2]HHS_Unaccompanied_Alien_Childre!D343</f>
        <v>166</v>
      </c>
      <c r="E343">
        <f>[2]HHS_Unaccompanied_Alien_Childre!E343</f>
        <v>7451</v>
      </c>
      <c r="F343">
        <f>[3]HHS_Unaccompanied_Alien_Childre!F343</f>
        <v>312</v>
      </c>
      <c r="G343">
        <f t="shared" si="36"/>
        <v>-290</v>
      </c>
      <c r="H343" t="str">
        <f t="shared" si="37"/>
        <v>Decrease</v>
      </c>
      <c r="I343">
        <f t="shared" si="35"/>
        <v>-50</v>
      </c>
      <c r="J343">
        <f t="shared" si="38"/>
        <v>7451</v>
      </c>
      <c r="K343">
        <f t="shared" si="39"/>
        <v>7491</v>
      </c>
      <c r="L343">
        <f t="shared" si="40"/>
        <v>7356</v>
      </c>
      <c r="M343">
        <f t="shared" si="41"/>
        <v>7616</v>
      </c>
    </row>
    <row r="344" spans="1:13" x14ac:dyDescent="0.3">
      <c r="A344" s="2">
        <f>[1]HHS_Unaccompanied_Alien_Childre!G344</f>
        <v>45453</v>
      </c>
      <c r="B344">
        <f>[2]HHS_Unaccompanied_Alien_Childre!B344</f>
        <v>184</v>
      </c>
      <c r="C344">
        <f>[3]HHS_Unaccompanied_Alien_Childre!C344</f>
        <v>334</v>
      </c>
      <c r="D344">
        <f>[2]HHS_Unaccompanied_Alien_Childre!D344</f>
        <v>229</v>
      </c>
      <c r="E344">
        <f>[2]HHS_Unaccompanied_Alien_Childre!E344</f>
        <v>7439</v>
      </c>
      <c r="F344">
        <f>[3]HHS_Unaccompanied_Alien_Childre!F344</f>
        <v>212</v>
      </c>
      <c r="G344">
        <f t="shared" si="36"/>
        <v>-12</v>
      </c>
      <c r="H344" t="str">
        <f t="shared" si="37"/>
        <v>Decrease</v>
      </c>
      <c r="I344">
        <f t="shared" si="35"/>
        <v>-45</v>
      </c>
      <c r="J344">
        <f t="shared" si="38"/>
        <v>7439</v>
      </c>
      <c r="K344">
        <f t="shared" si="39"/>
        <v>7563</v>
      </c>
      <c r="L344">
        <f t="shared" si="40"/>
        <v>7368</v>
      </c>
      <c r="M344">
        <f t="shared" si="41"/>
        <v>7507</v>
      </c>
    </row>
    <row r="345" spans="1:13" x14ac:dyDescent="0.3">
      <c r="A345" s="2">
        <f>[1]HHS_Unaccompanied_Alien_Childre!G345</f>
        <v>45454</v>
      </c>
      <c r="B345">
        <f>[2]HHS_Unaccompanied_Alien_Childre!B345</f>
        <v>186</v>
      </c>
      <c r="C345">
        <f>[3]HHS_Unaccompanied_Alien_Childre!C345</f>
        <v>352</v>
      </c>
      <c r="D345">
        <f>[2]HHS_Unaccompanied_Alien_Childre!D345</f>
        <v>224</v>
      </c>
      <c r="E345">
        <f>[2]HHS_Unaccompanied_Alien_Childre!E345</f>
        <v>7493</v>
      </c>
      <c r="F345">
        <f>[3]HHS_Unaccompanied_Alien_Childre!F345</f>
        <v>156</v>
      </c>
      <c r="G345">
        <f t="shared" si="36"/>
        <v>54</v>
      </c>
      <c r="H345" t="str">
        <f t="shared" si="37"/>
        <v>Increase</v>
      </c>
      <c r="I345">
        <f t="shared" si="35"/>
        <v>-38</v>
      </c>
      <c r="J345">
        <f t="shared" si="38"/>
        <v>7493</v>
      </c>
      <c r="K345">
        <f t="shared" si="39"/>
        <v>7546</v>
      </c>
      <c r="L345">
        <f t="shared" si="40"/>
        <v>7404</v>
      </c>
      <c r="M345">
        <f t="shared" si="41"/>
        <v>7492.5</v>
      </c>
    </row>
    <row r="346" spans="1:13" x14ac:dyDescent="0.3">
      <c r="A346" s="2">
        <f>[1]HHS_Unaccompanied_Alien_Childre!G346</f>
        <v>45455</v>
      </c>
      <c r="B346">
        <f>[2]HHS_Unaccompanied_Alien_Childre!B346</f>
        <v>152</v>
      </c>
      <c r="C346">
        <f>[3]HHS_Unaccompanied_Alien_Childre!C346</f>
        <v>266</v>
      </c>
      <c r="D346">
        <f>[2]HHS_Unaccompanied_Alien_Childre!D346</f>
        <v>274</v>
      </c>
      <c r="E346">
        <f>[2]HHS_Unaccompanied_Alien_Childre!E346</f>
        <v>7548</v>
      </c>
      <c r="F346">
        <f>[3]HHS_Unaccompanied_Alien_Childre!F346</f>
        <v>212</v>
      </c>
      <c r="G346">
        <f t="shared" si="36"/>
        <v>55</v>
      </c>
      <c r="H346" t="str">
        <f t="shared" si="37"/>
        <v>Increase</v>
      </c>
      <c r="I346">
        <f t="shared" si="35"/>
        <v>-122</v>
      </c>
      <c r="J346">
        <f t="shared" si="38"/>
        <v>7548</v>
      </c>
      <c r="K346">
        <f t="shared" si="39"/>
        <v>7596</v>
      </c>
      <c r="L346">
        <f t="shared" si="40"/>
        <v>7474</v>
      </c>
      <c r="M346">
        <f t="shared" si="41"/>
        <v>7544.5</v>
      </c>
    </row>
    <row r="347" spans="1:13" x14ac:dyDescent="0.3">
      <c r="A347" s="2">
        <f>[1]HHS_Unaccompanied_Alien_Childre!G347</f>
        <v>45456</v>
      </c>
      <c r="B347">
        <f>[2]HHS_Unaccompanied_Alien_Childre!B347</f>
        <v>167</v>
      </c>
      <c r="C347">
        <f>[3]HHS_Unaccompanied_Alien_Childre!C347</f>
        <v>293</v>
      </c>
      <c r="D347">
        <f>[2]HHS_Unaccompanied_Alien_Childre!D347</f>
        <v>230</v>
      </c>
      <c r="E347">
        <f>[2]HHS_Unaccompanied_Alien_Childre!E347</f>
        <v>7544</v>
      </c>
      <c r="F347">
        <f>[3]HHS_Unaccompanied_Alien_Childre!F347</f>
        <v>259</v>
      </c>
      <c r="G347">
        <f t="shared" si="36"/>
        <v>-4</v>
      </c>
      <c r="H347" t="str">
        <f t="shared" si="37"/>
        <v>Decrease</v>
      </c>
      <c r="I347">
        <f t="shared" si="35"/>
        <v>-63</v>
      </c>
      <c r="J347">
        <f t="shared" si="38"/>
        <v>7544</v>
      </c>
      <c r="K347">
        <f t="shared" si="39"/>
        <v>7565</v>
      </c>
      <c r="L347">
        <f t="shared" si="40"/>
        <v>7494</v>
      </c>
      <c r="M347">
        <f t="shared" si="41"/>
        <v>7556.5</v>
      </c>
    </row>
    <row r="348" spans="1:13" x14ac:dyDescent="0.3">
      <c r="A348" s="2">
        <f>[1]HHS_Unaccompanied_Alien_Childre!G348</f>
        <v>45459</v>
      </c>
      <c r="B348">
        <f>[2]HHS_Unaccompanied_Alien_Childre!B348</f>
        <v>204</v>
      </c>
      <c r="C348">
        <f>[3]HHS_Unaccompanied_Alien_Childre!C348</f>
        <v>315</v>
      </c>
      <c r="D348">
        <f>[2]HHS_Unaccompanied_Alien_Childre!D348</f>
        <v>233</v>
      </c>
      <c r="E348">
        <f>[2]HHS_Unaccompanied_Alien_Childre!E348</f>
        <v>7307</v>
      </c>
      <c r="F348">
        <f>[3]HHS_Unaccompanied_Alien_Childre!F348</f>
        <v>294</v>
      </c>
      <c r="G348">
        <f t="shared" si="36"/>
        <v>-237</v>
      </c>
      <c r="H348" t="str">
        <f t="shared" si="37"/>
        <v>Decrease</v>
      </c>
      <c r="I348">
        <f t="shared" si="35"/>
        <v>-29</v>
      </c>
      <c r="J348">
        <f t="shared" si="38"/>
        <v>7307</v>
      </c>
      <c r="K348">
        <f t="shared" si="39"/>
        <v>7691</v>
      </c>
      <c r="L348">
        <f t="shared" si="40"/>
        <v>7365</v>
      </c>
      <c r="M348">
        <f t="shared" si="41"/>
        <v>7617.5</v>
      </c>
    </row>
    <row r="349" spans="1:13" x14ac:dyDescent="0.3">
      <c r="A349" s="2">
        <f>[1]HHS_Unaccompanied_Alien_Childre!G349</f>
        <v>45460</v>
      </c>
      <c r="B349">
        <f>[2]HHS_Unaccompanied_Alien_Childre!B349</f>
        <v>159</v>
      </c>
      <c r="C349">
        <f>[3]HHS_Unaccompanied_Alien_Childre!C349</f>
        <v>310</v>
      </c>
      <c r="D349">
        <f>[2]HHS_Unaccompanied_Alien_Childre!D349</f>
        <v>272</v>
      </c>
      <c r="E349">
        <f>[2]HHS_Unaccompanied_Alien_Childre!E349</f>
        <v>7318</v>
      </c>
      <c r="F349">
        <f>[3]HHS_Unaccompanied_Alien_Childre!F349</f>
        <v>224</v>
      </c>
      <c r="G349">
        <f t="shared" si="36"/>
        <v>11</v>
      </c>
      <c r="H349" t="str">
        <f t="shared" si="37"/>
        <v>Increase</v>
      </c>
      <c r="I349">
        <f t="shared" si="35"/>
        <v>-113</v>
      </c>
      <c r="J349">
        <f t="shared" si="38"/>
        <v>7318</v>
      </c>
      <c r="K349">
        <f t="shared" si="39"/>
        <v>7741</v>
      </c>
      <c r="L349">
        <f t="shared" si="40"/>
        <v>7418</v>
      </c>
      <c r="M349">
        <f t="shared" si="41"/>
        <v>7524</v>
      </c>
    </row>
    <row r="350" spans="1:13" x14ac:dyDescent="0.3">
      <c r="A350" s="2">
        <f>[1]HHS_Unaccompanied_Alien_Childre!G350</f>
        <v>45461</v>
      </c>
      <c r="B350">
        <f>[2]HHS_Unaccompanied_Alien_Childre!B350</f>
        <v>160</v>
      </c>
      <c r="C350">
        <f>[3]HHS_Unaccompanied_Alien_Childre!C350</f>
        <v>297</v>
      </c>
      <c r="D350">
        <f>[2]HHS_Unaccompanied_Alien_Childre!D350</f>
        <v>253</v>
      </c>
      <c r="E350">
        <f>[2]HHS_Unaccompanied_Alien_Childre!E350</f>
        <v>7340</v>
      </c>
      <c r="F350">
        <f>[3]HHS_Unaccompanied_Alien_Childre!F350</f>
        <v>214</v>
      </c>
      <c r="G350">
        <f t="shared" si="36"/>
        <v>22</v>
      </c>
      <c r="H350" t="str">
        <f t="shared" si="37"/>
        <v>Increase</v>
      </c>
      <c r="I350">
        <f t="shared" si="35"/>
        <v>-93</v>
      </c>
      <c r="J350">
        <f t="shared" si="38"/>
        <v>7340</v>
      </c>
      <c r="K350">
        <f t="shared" si="39"/>
        <v>7451</v>
      </c>
      <c r="L350">
        <f t="shared" si="40"/>
        <v>7491</v>
      </c>
      <c r="M350">
        <f t="shared" si="41"/>
        <v>7384.5</v>
      </c>
    </row>
    <row r="351" spans="1:13" x14ac:dyDescent="0.3">
      <c r="A351" s="2">
        <f>[1]HHS_Unaccompanied_Alien_Childre!G351</f>
        <v>45462</v>
      </c>
      <c r="B351">
        <f>[2]HHS_Unaccompanied_Alien_Childre!B351</f>
        <v>204</v>
      </c>
      <c r="C351">
        <f>[3]HHS_Unaccompanied_Alien_Childre!C351</f>
        <v>321</v>
      </c>
      <c r="D351">
        <f>[2]HHS_Unaccompanied_Alien_Childre!D351</f>
        <v>246</v>
      </c>
      <c r="E351">
        <f>[2]HHS_Unaccompanied_Alien_Childre!E351</f>
        <v>7433</v>
      </c>
      <c r="F351">
        <f>[3]HHS_Unaccompanied_Alien_Childre!F351</f>
        <v>198</v>
      </c>
      <c r="G351">
        <f t="shared" si="36"/>
        <v>93</v>
      </c>
      <c r="H351" t="str">
        <f t="shared" si="37"/>
        <v>Increase</v>
      </c>
      <c r="I351">
        <f t="shared" si="35"/>
        <v>-42</v>
      </c>
      <c r="J351">
        <f t="shared" si="38"/>
        <v>7433</v>
      </c>
      <c r="K351">
        <f t="shared" si="39"/>
        <v>7439</v>
      </c>
      <c r="L351">
        <f t="shared" si="40"/>
        <v>7563</v>
      </c>
      <c r="M351">
        <f t="shared" si="41"/>
        <v>7389.5</v>
      </c>
    </row>
    <row r="352" spans="1:13" x14ac:dyDescent="0.3">
      <c r="A352" s="2">
        <f>[1]HHS_Unaccompanied_Alien_Childre!G352</f>
        <v>45463</v>
      </c>
      <c r="B352">
        <f>[2]HHS_Unaccompanied_Alien_Childre!B352</f>
        <v>145</v>
      </c>
      <c r="C352">
        <f>[3]HHS_Unaccompanied_Alien_Childre!C352</f>
        <v>247</v>
      </c>
      <c r="D352">
        <f>[2]HHS_Unaccompanied_Alien_Childre!D352</f>
        <v>243</v>
      </c>
      <c r="E352">
        <f>[2]HHS_Unaccompanied_Alien_Childre!E352</f>
        <v>7431</v>
      </c>
      <c r="F352">
        <f>[3]HHS_Unaccompanied_Alien_Childre!F352</f>
        <v>235</v>
      </c>
      <c r="G352">
        <f t="shared" si="36"/>
        <v>-2</v>
      </c>
      <c r="H352" t="str">
        <f t="shared" si="37"/>
        <v>Decrease</v>
      </c>
      <c r="I352">
        <f t="shared" si="35"/>
        <v>-98</v>
      </c>
      <c r="J352">
        <f t="shared" si="38"/>
        <v>7431</v>
      </c>
      <c r="K352">
        <f t="shared" si="39"/>
        <v>7493</v>
      </c>
      <c r="L352">
        <f t="shared" si="40"/>
        <v>7546</v>
      </c>
      <c r="M352">
        <f t="shared" si="41"/>
        <v>7463</v>
      </c>
    </row>
    <row r="353" spans="1:13" x14ac:dyDescent="0.3">
      <c r="A353" s="2">
        <f>[1]HHS_Unaccompanied_Alien_Childre!G353</f>
        <v>45466</v>
      </c>
      <c r="B353">
        <f>[2]HHS_Unaccompanied_Alien_Childre!B353</f>
        <v>102</v>
      </c>
      <c r="C353">
        <f>[3]HHS_Unaccompanied_Alien_Childre!C353</f>
        <v>227</v>
      </c>
      <c r="D353">
        <f>[2]HHS_Unaccompanied_Alien_Childre!D353</f>
        <v>201</v>
      </c>
      <c r="E353">
        <f>[2]HHS_Unaccompanied_Alien_Childre!E353</f>
        <v>7247</v>
      </c>
      <c r="F353">
        <f>[3]HHS_Unaccompanied_Alien_Childre!F353</f>
        <v>294</v>
      </c>
      <c r="G353">
        <f t="shared" si="36"/>
        <v>-184</v>
      </c>
      <c r="H353" t="str">
        <f t="shared" si="37"/>
        <v>Decrease</v>
      </c>
      <c r="I353">
        <f t="shared" si="35"/>
        <v>-99</v>
      </c>
      <c r="J353">
        <f t="shared" si="38"/>
        <v>7247</v>
      </c>
      <c r="K353">
        <f t="shared" si="39"/>
        <v>7548</v>
      </c>
      <c r="L353">
        <f t="shared" si="40"/>
        <v>7596</v>
      </c>
      <c r="M353">
        <f t="shared" si="41"/>
        <v>7489.5</v>
      </c>
    </row>
    <row r="354" spans="1:13" x14ac:dyDescent="0.3">
      <c r="A354" s="2">
        <f>[1]HHS_Unaccompanied_Alien_Childre!G354</f>
        <v>45467</v>
      </c>
      <c r="B354">
        <f>[2]HHS_Unaccompanied_Alien_Childre!B354</f>
        <v>116</v>
      </c>
      <c r="C354">
        <f>[3]HHS_Unaccompanied_Alien_Childre!C354</f>
        <v>175</v>
      </c>
      <c r="D354">
        <f>[2]HHS_Unaccompanied_Alien_Childre!D354</f>
        <v>172</v>
      </c>
      <c r="E354">
        <f>[2]HHS_Unaccompanied_Alien_Childre!E354</f>
        <v>7239</v>
      </c>
      <c r="F354">
        <f>[3]HHS_Unaccompanied_Alien_Childre!F354</f>
        <v>202</v>
      </c>
      <c r="G354">
        <f t="shared" si="36"/>
        <v>-8</v>
      </c>
      <c r="H354" t="str">
        <f t="shared" si="37"/>
        <v>Decrease</v>
      </c>
      <c r="I354">
        <f t="shared" si="35"/>
        <v>-56</v>
      </c>
      <c r="J354">
        <f t="shared" si="38"/>
        <v>7239</v>
      </c>
      <c r="K354">
        <f t="shared" si="39"/>
        <v>7544</v>
      </c>
      <c r="L354">
        <f t="shared" si="40"/>
        <v>7565</v>
      </c>
      <c r="M354">
        <f t="shared" si="41"/>
        <v>7395.5</v>
      </c>
    </row>
    <row r="355" spans="1:13" x14ac:dyDescent="0.3">
      <c r="A355" s="2">
        <f>[1]HHS_Unaccompanied_Alien_Childre!G355</f>
        <v>45468</v>
      </c>
      <c r="B355">
        <f>[2]HHS_Unaccompanied_Alien_Childre!B355</f>
        <v>172</v>
      </c>
      <c r="C355">
        <f>[3]HHS_Unaccompanied_Alien_Childre!C355</f>
        <v>263</v>
      </c>
      <c r="D355">
        <f>[2]HHS_Unaccompanied_Alien_Childre!D355</f>
        <v>191</v>
      </c>
      <c r="E355">
        <f>[2]HHS_Unaccompanied_Alien_Childre!E355</f>
        <v>7239</v>
      </c>
      <c r="F355">
        <f>[3]HHS_Unaccompanied_Alien_Childre!F355</f>
        <v>202</v>
      </c>
      <c r="G355">
        <f t="shared" si="36"/>
        <v>0</v>
      </c>
      <c r="H355" t="str">
        <f t="shared" si="37"/>
        <v>No Change</v>
      </c>
      <c r="I355">
        <f t="shared" si="35"/>
        <v>-19</v>
      </c>
      <c r="J355">
        <f t="shared" si="38"/>
        <v>7239</v>
      </c>
      <c r="K355">
        <f t="shared" si="39"/>
        <v>7307</v>
      </c>
      <c r="L355">
        <f t="shared" si="40"/>
        <v>7691</v>
      </c>
      <c r="M355">
        <f t="shared" si="41"/>
        <v>7273</v>
      </c>
    </row>
    <row r="356" spans="1:13" x14ac:dyDescent="0.3">
      <c r="A356" s="2">
        <f>[1]HHS_Unaccompanied_Alien_Childre!G356</f>
        <v>45469</v>
      </c>
      <c r="B356">
        <f>[2]HHS_Unaccompanied_Alien_Childre!B356</f>
        <v>132</v>
      </c>
      <c r="C356">
        <f>[3]HHS_Unaccompanied_Alien_Childre!C356</f>
        <v>235</v>
      </c>
      <c r="D356">
        <f>[2]HHS_Unaccompanied_Alien_Childre!D356</f>
        <v>197</v>
      </c>
      <c r="E356">
        <f>[2]HHS_Unaccompanied_Alien_Childre!E356</f>
        <v>7268</v>
      </c>
      <c r="F356">
        <f>[3]HHS_Unaccompanied_Alien_Childre!F356</f>
        <v>187</v>
      </c>
      <c r="G356">
        <f t="shared" si="36"/>
        <v>29</v>
      </c>
      <c r="H356" t="str">
        <f t="shared" si="37"/>
        <v>Increase</v>
      </c>
      <c r="I356">
        <f t="shared" si="35"/>
        <v>-65</v>
      </c>
      <c r="J356">
        <f t="shared" si="38"/>
        <v>7268</v>
      </c>
      <c r="K356">
        <f t="shared" si="39"/>
        <v>7318</v>
      </c>
      <c r="L356">
        <f t="shared" si="40"/>
        <v>7741</v>
      </c>
      <c r="M356">
        <f t="shared" si="41"/>
        <v>7278.5</v>
      </c>
    </row>
    <row r="357" spans="1:13" x14ac:dyDescent="0.3">
      <c r="A357" s="2">
        <f>[1]HHS_Unaccompanied_Alien_Childre!G357</f>
        <v>45470</v>
      </c>
      <c r="B357">
        <f>[2]HHS_Unaccompanied_Alien_Childre!B357</f>
        <v>174</v>
      </c>
      <c r="C357">
        <f>[3]HHS_Unaccompanied_Alien_Childre!C357</f>
        <v>208</v>
      </c>
      <c r="D357">
        <f>[2]HHS_Unaccompanied_Alien_Childre!D357</f>
        <v>256</v>
      </c>
      <c r="E357">
        <f>[2]HHS_Unaccompanied_Alien_Childre!E357</f>
        <v>7248</v>
      </c>
      <c r="F357">
        <f>[3]HHS_Unaccompanied_Alien_Childre!F357</f>
        <v>268</v>
      </c>
      <c r="G357">
        <f t="shared" si="36"/>
        <v>-20</v>
      </c>
      <c r="H357" t="str">
        <f t="shared" si="37"/>
        <v>Decrease</v>
      </c>
      <c r="I357">
        <f t="shared" si="35"/>
        <v>-82</v>
      </c>
      <c r="J357">
        <f t="shared" si="38"/>
        <v>7248</v>
      </c>
      <c r="K357">
        <f t="shared" si="39"/>
        <v>7340</v>
      </c>
      <c r="L357">
        <f t="shared" si="40"/>
        <v>7451</v>
      </c>
      <c r="M357">
        <f t="shared" si="41"/>
        <v>7304</v>
      </c>
    </row>
    <row r="358" spans="1:13" x14ac:dyDescent="0.3">
      <c r="A358" s="2">
        <f>[1]HHS_Unaccompanied_Alien_Childre!G358</f>
        <v>45473</v>
      </c>
      <c r="B358">
        <f>[2]HHS_Unaccompanied_Alien_Childre!B358</f>
        <v>123</v>
      </c>
      <c r="C358">
        <f>[3]HHS_Unaccompanied_Alien_Childre!C358</f>
        <v>230</v>
      </c>
      <c r="D358">
        <f>[2]HHS_Unaccompanied_Alien_Childre!D358</f>
        <v>167</v>
      </c>
      <c r="E358">
        <f>[2]HHS_Unaccompanied_Alien_Childre!E358</f>
        <v>6874</v>
      </c>
      <c r="F358">
        <f>[3]HHS_Unaccompanied_Alien_Childre!F358</f>
        <v>273</v>
      </c>
      <c r="G358">
        <f t="shared" si="36"/>
        <v>-374</v>
      </c>
      <c r="H358" t="str">
        <f t="shared" si="37"/>
        <v>Decrease</v>
      </c>
      <c r="I358">
        <f t="shared" si="35"/>
        <v>-44</v>
      </c>
      <c r="J358">
        <f t="shared" si="38"/>
        <v>6874</v>
      </c>
      <c r="K358">
        <f t="shared" si="39"/>
        <v>7433</v>
      </c>
      <c r="L358">
        <f t="shared" si="40"/>
        <v>7439</v>
      </c>
      <c r="M358">
        <f t="shared" si="41"/>
        <v>7340.5</v>
      </c>
    </row>
    <row r="359" spans="1:13" x14ac:dyDescent="0.3">
      <c r="A359" s="2">
        <f>[1]HHS_Unaccompanied_Alien_Childre!G359</f>
        <v>45474</v>
      </c>
      <c r="B359">
        <f>[2]HHS_Unaccompanied_Alien_Childre!B359</f>
        <v>123</v>
      </c>
      <c r="C359">
        <f>[3]HHS_Unaccompanied_Alien_Childre!C359</f>
        <v>233</v>
      </c>
      <c r="D359">
        <f>[2]HHS_Unaccompanied_Alien_Childre!D359</f>
        <v>159</v>
      </c>
      <c r="E359">
        <f>[2]HHS_Unaccompanied_Alien_Childre!E359</f>
        <v>6825</v>
      </c>
      <c r="F359">
        <f>[3]HHS_Unaccompanied_Alien_Childre!F359</f>
        <v>229</v>
      </c>
      <c r="G359">
        <f t="shared" si="36"/>
        <v>-49</v>
      </c>
      <c r="H359" t="str">
        <f t="shared" si="37"/>
        <v>Decrease</v>
      </c>
      <c r="I359">
        <f t="shared" si="35"/>
        <v>-36</v>
      </c>
      <c r="J359">
        <f t="shared" si="38"/>
        <v>6825</v>
      </c>
      <c r="K359">
        <f t="shared" si="39"/>
        <v>7431</v>
      </c>
      <c r="L359">
        <f t="shared" si="40"/>
        <v>7493</v>
      </c>
      <c r="M359">
        <f t="shared" si="41"/>
        <v>7152.5</v>
      </c>
    </row>
    <row r="360" spans="1:13" x14ac:dyDescent="0.3">
      <c r="A360" s="2">
        <f>[1]HHS_Unaccompanied_Alien_Childre!G360</f>
        <v>45475</v>
      </c>
      <c r="B360">
        <f>[2]HHS_Unaccompanied_Alien_Childre!B360</f>
        <v>141</v>
      </c>
      <c r="C360">
        <f>[3]HHS_Unaccompanied_Alien_Childre!C360</f>
        <v>232</v>
      </c>
      <c r="D360">
        <f>[2]HHS_Unaccompanied_Alien_Childre!D360</f>
        <v>188</v>
      </c>
      <c r="E360">
        <f>[2]HHS_Unaccompanied_Alien_Childre!E360</f>
        <v>6823</v>
      </c>
      <c r="F360">
        <f>[3]HHS_Unaccompanied_Alien_Childre!F360</f>
        <v>184</v>
      </c>
      <c r="G360">
        <f t="shared" si="36"/>
        <v>-2</v>
      </c>
      <c r="H360" t="str">
        <f t="shared" si="37"/>
        <v>Decrease</v>
      </c>
      <c r="I360">
        <f t="shared" si="35"/>
        <v>-47</v>
      </c>
      <c r="J360">
        <f t="shared" si="38"/>
        <v>6823</v>
      </c>
      <c r="K360">
        <f t="shared" si="39"/>
        <v>7247</v>
      </c>
      <c r="L360">
        <f t="shared" si="40"/>
        <v>7548</v>
      </c>
      <c r="M360">
        <f t="shared" si="41"/>
        <v>7036</v>
      </c>
    </row>
    <row r="361" spans="1:13" x14ac:dyDescent="0.3">
      <c r="A361" s="2">
        <f>[1]HHS_Unaccompanied_Alien_Childre!G361</f>
        <v>45477</v>
      </c>
      <c r="B361">
        <f>[2]HHS_Unaccompanied_Alien_Childre!B361</f>
        <v>158</v>
      </c>
      <c r="C361">
        <f>[3]HHS_Unaccompanied_Alien_Childre!C361</f>
        <v>226</v>
      </c>
      <c r="D361">
        <f>[2]HHS_Unaccompanied_Alien_Childre!D361</f>
        <v>191</v>
      </c>
      <c r="E361">
        <f>[2]HHS_Unaccompanied_Alien_Childre!E361</f>
        <v>6790</v>
      </c>
      <c r="F361">
        <f>[3]HHS_Unaccompanied_Alien_Childre!F361</f>
        <v>225</v>
      </c>
      <c r="G361">
        <f t="shared" si="36"/>
        <v>-33</v>
      </c>
      <c r="H361" t="str">
        <f t="shared" si="37"/>
        <v>Decrease</v>
      </c>
      <c r="I361">
        <f t="shared" si="35"/>
        <v>-33</v>
      </c>
      <c r="J361">
        <f t="shared" si="38"/>
        <v>6790</v>
      </c>
      <c r="K361">
        <f t="shared" si="39"/>
        <v>7239</v>
      </c>
      <c r="L361">
        <f t="shared" si="40"/>
        <v>7544</v>
      </c>
      <c r="M361">
        <f t="shared" si="41"/>
        <v>7031</v>
      </c>
    </row>
    <row r="362" spans="1:13" x14ac:dyDescent="0.3">
      <c r="A362" s="2">
        <f>[1]HHS_Unaccompanied_Alien_Childre!G362</f>
        <v>45480</v>
      </c>
      <c r="B362">
        <f>[2]HHS_Unaccompanied_Alien_Childre!B362</f>
        <v>96</v>
      </c>
      <c r="C362">
        <f>[3]HHS_Unaccompanied_Alien_Childre!C362</f>
        <v>160</v>
      </c>
      <c r="D362">
        <f>[2]HHS_Unaccompanied_Alien_Childre!D362</f>
        <v>233</v>
      </c>
      <c r="E362">
        <f>[2]HHS_Unaccompanied_Alien_Childre!E362</f>
        <v>6599</v>
      </c>
      <c r="F362">
        <f>[3]HHS_Unaccompanied_Alien_Childre!F362</f>
        <v>213</v>
      </c>
      <c r="G362">
        <f t="shared" si="36"/>
        <v>-191</v>
      </c>
      <c r="H362" t="str">
        <f t="shared" si="37"/>
        <v>Decrease</v>
      </c>
      <c r="I362">
        <f t="shared" si="35"/>
        <v>-137</v>
      </c>
      <c r="J362">
        <f t="shared" si="38"/>
        <v>6599</v>
      </c>
      <c r="K362">
        <f t="shared" si="39"/>
        <v>7239</v>
      </c>
      <c r="L362">
        <f t="shared" si="40"/>
        <v>7307</v>
      </c>
      <c r="M362">
        <f t="shared" si="41"/>
        <v>7014.5</v>
      </c>
    </row>
    <row r="363" spans="1:13" x14ac:dyDescent="0.3">
      <c r="A363" s="2">
        <f>[1]HHS_Unaccompanied_Alien_Childre!G363</f>
        <v>45481</v>
      </c>
      <c r="B363">
        <f>[2]HHS_Unaccompanied_Alien_Childre!B363</f>
        <v>141</v>
      </c>
      <c r="C363">
        <f>[3]HHS_Unaccompanied_Alien_Childre!C363</f>
        <v>173</v>
      </c>
      <c r="D363">
        <f>[2]HHS_Unaccompanied_Alien_Childre!D363</f>
        <v>129</v>
      </c>
      <c r="E363">
        <f>[2]HHS_Unaccompanied_Alien_Childre!E363</f>
        <v>6617</v>
      </c>
      <c r="F363">
        <f>[3]HHS_Unaccompanied_Alien_Childre!F363</f>
        <v>123</v>
      </c>
      <c r="G363">
        <f t="shared" si="36"/>
        <v>18</v>
      </c>
      <c r="H363" t="str">
        <f t="shared" si="37"/>
        <v>Increase</v>
      </c>
      <c r="I363">
        <f t="shared" si="35"/>
        <v>12</v>
      </c>
      <c r="J363">
        <f t="shared" si="38"/>
        <v>6617</v>
      </c>
      <c r="K363">
        <f t="shared" si="39"/>
        <v>7268</v>
      </c>
      <c r="L363">
        <f t="shared" si="40"/>
        <v>7318</v>
      </c>
      <c r="M363">
        <f t="shared" si="41"/>
        <v>6933.5</v>
      </c>
    </row>
    <row r="364" spans="1:13" x14ac:dyDescent="0.3">
      <c r="A364" s="2">
        <f>[1]HHS_Unaccompanied_Alien_Childre!G364</f>
        <v>45482</v>
      </c>
      <c r="B364">
        <f>[2]HHS_Unaccompanied_Alien_Childre!B364</f>
        <v>116</v>
      </c>
      <c r="C364">
        <f>[3]HHS_Unaccompanied_Alien_Childre!C364</f>
        <v>181</v>
      </c>
      <c r="D364">
        <f>[2]HHS_Unaccompanied_Alien_Childre!D364</f>
        <v>182</v>
      </c>
      <c r="E364">
        <f>[2]HHS_Unaccompanied_Alien_Childre!E364</f>
        <v>6651</v>
      </c>
      <c r="F364">
        <f>[3]HHS_Unaccompanied_Alien_Childre!F364</f>
        <v>130</v>
      </c>
      <c r="G364">
        <f t="shared" si="36"/>
        <v>34</v>
      </c>
      <c r="H364" t="str">
        <f t="shared" si="37"/>
        <v>Increase</v>
      </c>
      <c r="I364">
        <f t="shared" si="35"/>
        <v>-66</v>
      </c>
      <c r="J364">
        <f t="shared" si="38"/>
        <v>6651</v>
      </c>
      <c r="K364">
        <f t="shared" si="39"/>
        <v>7248</v>
      </c>
      <c r="L364">
        <f t="shared" si="40"/>
        <v>7340</v>
      </c>
      <c r="M364">
        <f t="shared" si="41"/>
        <v>6932.5</v>
      </c>
    </row>
    <row r="365" spans="1:13" x14ac:dyDescent="0.3">
      <c r="A365" s="2">
        <f>[1]HHS_Unaccompanied_Alien_Childre!G365</f>
        <v>45483</v>
      </c>
      <c r="B365">
        <f>[2]HHS_Unaccompanied_Alien_Childre!B365</f>
        <v>150</v>
      </c>
      <c r="C365">
        <f>[3]HHS_Unaccompanied_Alien_Childre!C365</f>
        <v>157</v>
      </c>
      <c r="D365">
        <f>[2]HHS_Unaccompanied_Alien_Childre!D365</f>
        <v>201</v>
      </c>
      <c r="E365">
        <f>[2]HHS_Unaccompanied_Alien_Childre!E365</f>
        <v>6649</v>
      </c>
      <c r="F365">
        <f>[3]HHS_Unaccompanied_Alien_Childre!F365</f>
        <v>177</v>
      </c>
      <c r="G365">
        <f t="shared" si="36"/>
        <v>-2</v>
      </c>
      <c r="H365" t="str">
        <f t="shared" si="37"/>
        <v>Decrease</v>
      </c>
      <c r="I365">
        <f t="shared" si="35"/>
        <v>-51</v>
      </c>
      <c r="J365">
        <f t="shared" si="38"/>
        <v>6649</v>
      </c>
      <c r="K365">
        <f t="shared" si="39"/>
        <v>6874</v>
      </c>
      <c r="L365">
        <f t="shared" si="40"/>
        <v>7433</v>
      </c>
      <c r="M365">
        <f t="shared" si="41"/>
        <v>6762.5</v>
      </c>
    </row>
    <row r="366" spans="1:13" x14ac:dyDescent="0.3">
      <c r="A366" s="2">
        <f>[1]HHS_Unaccompanied_Alien_Childre!G366</f>
        <v>45484</v>
      </c>
      <c r="B366">
        <f>[2]HHS_Unaccompanied_Alien_Childre!B366</f>
        <v>80</v>
      </c>
      <c r="C366">
        <f>[3]HHS_Unaccompanied_Alien_Childre!C366</f>
        <v>176</v>
      </c>
      <c r="D366">
        <f>[2]HHS_Unaccompanied_Alien_Childre!D366</f>
        <v>125</v>
      </c>
      <c r="E366">
        <f>[2]HHS_Unaccompanied_Alien_Childre!E366</f>
        <v>6640</v>
      </c>
      <c r="F366">
        <f>[3]HHS_Unaccompanied_Alien_Childre!F366</f>
        <v>197</v>
      </c>
      <c r="G366">
        <f t="shared" si="36"/>
        <v>-9</v>
      </c>
      <c r="H366" t="str">
        <f t="shared" si="37"/>
        <v>Decrease</v>
      </c>
      <c r="I366">
        <f t="shared" si="35"/>
        <v>-45</v>
      </c>
      <c r="J366">
        <f t="shared" si="38"/>
        <v>6640</v>
      </c>
      <c r="K366">
        <f t="shared" si="39"/>
        <v>6825</v>
      </c>
      <c r="L366">
        <f t="shared" si="40"/>
        <v>7431</v>
      </c>
      <c r="M366">
        <f t="shared" si="41"/>
        <v>6737</v>
      </c>
    </row>
    <row r="367" spans="1:13" x14ac:dyDescent="0.3">
      <c r="A367" s="2">
        <f>[1]HHS_Unaccompanied_Alien_Childre!G367</f>
        <v>45487</v>
      </c>
      <c r="B367">
        <f>[2]HHS_Unaccompanied_Alien_Childre!B367</f>
        <v>116</v>
      </c>
      <c r="C367">
        <f>[3]HHS_Unaccompanied_Alien_Childre!C367</f>
        <v>188</v>
      </c>
      <c r="D367">
        <f>[2]HHS_Unaccompanied_Alien_Childre!D367</f>
        <v>164</v>
      </c>
      <c r="E367">
        <f>[2]HHS_Unaccompanied_Alien_Childre!E367</f>
        <v>6308</v>
      </c>
      <c r="F367">
        <f>[3]HHS_Unaccompanied_Alien_Childre!F367</f>
        <v>237</v>
      </c>
      <c r="G367">
        <f t="shared" si="36"/>
        <v>-332</v>
      </c>
      <c r="H367" t="str">
        <f t="shared" si="37"/>
        <v>Decrease</v>
      </c>
      <c r="I367">
        <f t="shared" si="35"/>
        <v>-48</v>
      </c>
      <c r="J367">
        <f t="shared" si="38"/>
        <v>6308</v>
      </c>
      <c r="K367">
        <f t="shared" si="39"/>
        <v>6823</v>
      </c>
      <c r="L367">
        <f t="shared" si="40"/>
        <v>7247</v>
      </c>
      <c r="M367">
        <f t="shared" si="41"/>
        <v>6731.5</v>
      </c>
    </row>
    <row r="368" spans="1:13" x14ac:dyDescent="0.3">
      <c r="A368" s="2">
        <f>[1]HHS_Unaccompanied_Alien_Childre!G368</f>
        <v>45488</v>
      </c>
      <c r="B368">
        <f>[2]HHS_Unaccompanied_Alien_Childre!B368</f>
        <v>105</v>
      </c>
      <c r="C368">
        <f>[3]HHS_Unaccompanied_Alien_Childre!C368</f>
        <v>185</v>
      </c>
      <c r="D368">
        <f>[2]HHS_Unaccompanied_Alien_Childre!D368</f>
        <v>158</v>
      </c>
      <c r="E368">
        <f>[2]HHS_Unaccompanied_Alien_Childre!E368</f>
        <v>6283</v>
      </c>
      <c r="F368">
        <f>[3]HHS_Unaccompanied_Alien_Childre!F368</f>
        <v>171</v>
      </c>
      <c r="G368">
        <f t="shared" si="36"/>
        <v>-25</v>
      </c>
      <c r="H368" t="str">
        <f t="shared" si="37"/>
        <v>Decrease</v>
      </c>
      <c r="I368">
        <f t="shared" si="35"/>
        <v>-53</v>
      </c>
      <c r="J368">
        <f t="shared" si="38"/>
        <v>6283</v>
      </c>
      <c r="K368">
        <f t="shared" si="39"/>
        <v>6790</v>
      </c>
      <c r="L368">
        <f t="shared" si="40"/>
        <v>7239</v>
      </c>
      <c r="M368">
        <f t="shared" si="41"/>
        <v>6549</v>
      </c>
    </row>
    <row r="369" spans="1:13" x14ac:dyDescent="0.3">
      <c r="A369" s="2">
        <f>[1]HHS_Unaccompanied_Alien_Childre!G369</f>
        <v>45489</v>
      </c>
      <c r="B369">
        <f>[2]HHS_Unaccompanied_Alien_Childre!B369</f>
        <v>136</v>
      </c>
      <c r="C369">
        <f>[3]HHS_Unaccompanied_Alien_Childre!C369</f>
        <v>246</v>
      </c>
      <c r="D369">
        <f>[2]HHS_Unaccompanied_Alien_Childre!D369</f>
        <v>123</v>
      </c>
      <c r="E369">
        <f>[2]HHS_Unaccompanied_Alien_Childre!E369</f>
        <v>6239</v>
      </c>
      <c r="F369">
        <f>[3]HHS_Unaccompanied_Alien_Childre!F369</f>
        <v>173</v>
      </c>
      <c r="G369">
        <f t="shared" si="36"/>
        <v>-44</v>
      </c>
      <c r="H369" t="str">
        <f t="shared" si="37"/>
        <v>Decrease</v>
      </c>
      <c r="I369">
        <f t="shared" si="35"/>
        <v>13</v>
      </c>
      <c r="J369">
        <f t="shared" si="38"/>
        <v>6239</v>
      </c>
      <c r="K369">
        <f t="shared" si="39"/>
        <v>6599</v>
      </c>
      <c r="L369">
        <f t="shared" si="40"/>
        <v>7239</v>
      </c>
      <c r="M369">
        <f t="shared" si="41"/>
        <v>6441</v>
      </c>
    </row>
    <row r="370" spans="1:13" x14ac:dyDescent="0.3">
      <c r="A370" s="2">
        <f>[1]HHS_Unaccompanied_Alien_Childre!G370</f>
        <v>45490</v>
      </c>
      <c r="B370">
        <f>[2]HHS_Unaccompanied_Alien_Childre!B370</f>
        <v>128</v>
      </c>
      <c r="C370">
        <f>[3]HHS_Unaccompanied_Alien_Childre!C370</f>
        <v>228</v>
      </c>
      <c r="D370">
        <f>[2]HHS_Unaccompanied_Alien_Childre!D370</f>
        <v>177</v>
      </c>
      <c r="E370">
        <f>[2]HHS_Unaccompanied_Alien_Childre!E370</f>
        <v>6228</v>
      </c>
      <c r="F370">
        <f>[3]HHS_Unaccompanied_Alien_Childre!F370</f>
        <v>187</v>
      </c>
      <c r="G370">
        <f t="shared" si="36"/>
        <v>-11</v>
      </c>
      <c r="H370" t="str">
        <f t="shared" si="37"/>
        <v>Decrease</v>
      </c>
      <c r="I370">
        <f t="shared" si="35"/>
        <v>-49</v>
      </c>
      <c r="J370">
        <f t="shared" si="38"/>
        <v>6228</v>
      </c>
      <c r="K370">
        <f t="shared" si="39"/>
        <v>6617</v>
      </c>
      <c r="L370">
        <f t="shared" si="40"/>
        <v>7268</v>
      </c>
      <c r="M370">
        <f t="shared" si="41"/>
        <v>6428</v>
      </c>
    </row>
    <row r="371" spans="1:13" x14ac:dyDescent="0.3">
      <c r="A371" s="2">
        <f>[1]HHS_Unaccompanied_Alien_Childre!G371</f>
        <v>45494</v>
      </c>
      <c r="B371">
        <f>[2]HHS_Unaccompanied_Alien_Childre!B371</f>
        <v>90</v>
      </c>
      <c r="C371">
        <f>[3]HHS_Unaccompanied_Alien_Childre!C371</f>
        <v>196</v>
      </c>
      <c r="D371">
        <f>[2]HHS_Unaccompanied_Alien_Childre!D371</f>
        <v>205</v>
      </c>
      <c r="E371">
        <f>[2]HHS_Unaccompanied_Alien_Childre!E371</f>
        <v>6058</v>
      </c>
      <c r="F371">
        <f>[3]HHS_Unaccompanied_Alien_Childre!F371</f>
        <v>262</v>
      </c>
      <c r="G371">
        <f t="shared" si="36"/>
        <v>-170</v>
      </c>
      <c r="H371" t="str">
        <f t="shared" si="37"/>
        <v>Decrease</v>
      </c>
      <c r="I371">
        <f t="shared" si="35"/>
        <v>-115</v>
      </c>
      <c r="J371">
        <f t="shared" si="38"/>
        <v>6058</v>
      </c>
      <c r="K371">
        <f t="shared" si="39"/>
        <v>6651</v>
      </c>
      <c r="L371">
        <f t="shared" si="40"/>
        <v>7248</v>
      </c>
      <c r="M371">
        <f t="shared" si="41"/>
        <v>6439.5</v>
      </c>
    </row>
    <row r="372" spans="1:13" x14ac:dyDescent="0.3">
      <c r="A372" s="2">
        <f>[1]HHS_Unaccompanied_Alien_Childre!G372</f>
        <v>45495</v>
      </c>
      <c r="B372">
        <f>[2]HHS_Unaccompanied_Alien_Childre!B372</f>
        <v>102</v>
      </c>
      <c r="C372">
        <f>[3]HHS_Unaccompanied_Alien_Childre!C372</f>
        <v>189</v>
      </c>
      <c r="D372">
        <f>[2]HHS_Unaccompanied_Alien_Childre!D372</f>
        <v>155</v>
      </c>
      <c r="E372">
        <f>[2]HHS_Unaccompanied_Alien_Childre!E372</f>
        <v>6002</v>
      </c>
      <c r="F372">
        <f>[3]HHS_Unaccompanied_Alien_Childre!F372</f>
        <v>234</v>
      </c>
      <c r="G372">
        <f t="shared" si="36"/>
        <v>-56</v>
      </c>
      <c r="H372" t="str">
        <f t="shared" si="37"/>
        <v>Decrease</v>
      </c>
      <c r="I372">
        <f t="shared" si="35"/>
        <v>-53</v>
      </c>
      <c r="J372">
        <f t="shared" si="38"/>
        <v>6002</v>
      </c>
      <c r="K372">
        <f t="shared" si="39"/>
        <v>6649</v>
      </c>
      <c r="L372">
        <f t="shared" si="40"/>
        <v>6874</v>
      </c>
      <c r="M372">
        <f t="shared" si="41"/>
        <v>6353.5</v>
      </c>
    </row>
    <row r="373" spans="1:13" x14ac:dyDescent="0.3">
      <c r="A373" s="2">
        <f>[1]HHS_Unaccompanied_Alien_Childre!G373</f>
        <v>45496</v>
      </c>
      <c r="B373">
        <f>[2]HHS_Unaccompanied_Alien_Childre!B373</f>
        <v>120</v>
      </c>
      <c r="C373">
        <f>[3]HHS_Unaccompanied_Alien_Childre!C373</f>
        <v>257</v>
      </c>
      <c r="D373">
        <f>[2]HHS_Unaccompanied_Alien_Childre!D373</f>
        <v>126</v>
      </c>
      <c r="E373">
        <f>[2]HHS_Unaccompanied_Alien_Childre!E373</f>
        <v>5965</v>
      </c>
      <c r="F373">
        <f>[3]HHS_Unaccompanied_Alien_Childre!F373</f>
        <v>170</v>
      </c>
      <c r="G373">
        <f t="shared" si="36"/>
        <v>-37</v>
      </c>
      <c r="H373" t="str">
        <f t="shared" si="37"/>
        <v>Decrease</v>
      </c>
      <c r="I373">
        <f t="shared" si="35"/>
        <v>-6</v>
      </c>
      <c r="J373">
        <f t="shared" si="38"/>
        <v>5965</v>
      </c>
      <c r="K373">
        <f t="shared" si="39"/>
        <v>6640</v>
      </c>
      <c r="L373">
        <f t="shared" si="40"/>
        <v>6825</v>
      </c>
      <c r="M373">
        <f t="shared" si="41"/>
        <v>6321</v>
      </c>
    </row>
    <row r="374" spans="1:13" x14ac:dyDescent="0.3">
      <c r="A374" s="2">
        <f>[1]HHS_Unaccompanied_Alien_Childre!G374</f>
        <v>45497</v>
      </c>
      <c r="B374">
        <f>[2]HHS_Unaccompanied_Alien_Childre!B374</f>
        <v>137</v>
      </c>
      <c r="C374">
        <f>[3]HHS_Unaccompanied_Alien_Childre!C374</f>
        <v>272</v>
      </c>
      <c r="D374">
        <f>[2]HHS_Unaccompanied_Alien_Childre!D374</f>
        <v>166</v>
      </c>
      <c r="E374">
        <f>[2]HHS_Unaccompanied_Alien_Childre!E374</f>
        <v>5927</v>
      </c>
      <c r="F374">
        <f>[3]HHS_Unaccompanied_Alien_Childre!F374</f>
        <v>177</v>
      </c>
      <c r="G374">
        <f t="shared" si="36"/>
        <v>-38</v>
      </c>
      <c r="H374" t="str">
        <f t="shared" si="37"/>
        <v>Decrease</v>
      </c>
      <c r="I374">
        <f t="shared" si="35"/>
        <v>-29</v>
      </c>
      <c r="J374">
        <f t="shared" si="38"/>
        <v>5927</v>
      </c>
      <c r="K374">
        <f t="shared" si="39"/>
        <v>6308</v>
      </c>
      <c r="L374">
        <f t="shared" si="40"/>
        <v>6823</v>
      </c>
      <c r="M374">
        <f t="shared" si="41"/>
        <v>6136.5</v>
      </c>
    </row>
    <row r="375" spans="1:13" x14ac:dyDescent="0.3">
      <c r="A375" s="2">
        <f>[1]HHS_Unaccompanied_Alien_Childre!G375</f>
        <v>45498</v>
      </c>
      <c r="B375">
        <f>[2]HHS_Unaccompanied_Alien_Childre!B375</f>
        <v>93</v>
      </c>
      <c r="C375">
        <f>[3]HHS_Unaccompanied_Alien_Childre!C375</f>
        <v>198</v>
      </c>
      <c r="D375">
        <f>[2]HHS_Unaccompanied_Alien_Childre!D375</f>
        <v>208</v>
      </c>
      <c r="E375">
        <f>[2]HHS_Unaccompanied_Alien_Childre!E375</f>
        <v>5954</v>
      </c>
      <c r="F375">
        <f>[3]HHS_Unaccompanied_Alien_Childre!F375</f>
        <v>194</v>
      </c>
      <c r="G375">
        <f t="shared" si="36"/>
        <v>27</v>
      </c>
      <c r="H375" t="str">
        <f t="shared" si="37"/>
        <v>Increase</v>
      </c>
      <c r="I375">
        <f t="shared" si="35"/>
        <v>-115</v>
      </c>
      <c r="J375">
        <f t="shared" si="38"/>
        <v>5954</v>
      </c>
      <c r="K375">
        <f t="shared" si="39"/>
        <v>6283</v>
      </c>
      <c r="L375">
        <f t="shared" si="40"/>
        <v>6790</v>
      </c>
      <c r="M375">
        <f t="shared" si="41"/>
        <v>6105</v>
      </c>
    </row>
    <row r="376" spans="1:13" x14ac:dyDescent="0.3">
      <c r="A376" s="2">
        <f>[1]HHS_Unaccompanied_Alien_Childre!G376</f>
        <v>45501</v>
      </c>
      <c r="B376">
        <f>[2]HHS_Unaccompanied_Alien_Childre!B376</f>
        <v>152</v>
      </c>
      <c r="C376">
        <f>[3]HHS_Unaccompanied_Alien_Childre!C376</f>
        <v>290</v>
      </c>
      <c r="D376">
        <f>[2]HHS_Unaccompanied_Alien_Childre!D376</f>
        <v>199</v>
      </c>
      <c r="E376">
        <f>[2]HHS_Unaccompanied_Alien_Childre!E376</f>
        <v>5743</v>
      </c>
      <c r="F376">
        <f>[3]HHS_Unaccompanied_Alien_Childre!F376</f>
        <v>207</v>
      </c>
      <c r="G376">
        <f t="shared" si="36"/>
        <v>-211</v>
      </c>
      <c r="H376" t="str">
        <f t="shared" si="37"/>
        <v>Decrease</v>
      </c>
      <c r="I376">
        <f t="shared" si="35"/>
        <v>-47</v>
      </c>
      <c r="J376">
        <f t="shared" si="38"/>
        <v>5743</v>
      </c>
      <c r="K376">
        <f t="shared" si="39"/>
        <v>6239</v>
      </c>
      <c r="L376">
        <f t="shared" si="40"/>
        <v>6599</v>
      </c>
      <c r="M376">
        <f t="shared" si="41"/>
        <v>6096.5</v>
      </c>
    </row>
    <row r="377" spans="1:13" x14ac:dyDescent="0.3">
      <c r="A377" s="2">
        <f>[1]HHS_Unaccompanied_Alien_Childre!G377</f>
        <v>45502</v>
      </c>
      <c r="B377">
        <f>[2]HHS_Unaccompanied_Alien_Childre!B377</f>
        <v>114</v>
      </c>
      <c r="C377">
        <f>[3]HHS_Unaccompanied_Alien_Childre!C377</f>
        <v>210</v>
      </c>
      <c r="D377">
        <f>[2]HHS_Unaccompanied_Alien_Childre!D377</f>
        <v>219</v>
      </c>
      <c r="E377">
        <f>[2]HHS_Unaccompanied_Alien_Childre!E377</f>
        <v>5819</v>
      </c>
      <c r="F377">
        <f>[3]HHS_Unaccompanied_Alien_Childre!F377</f>
        <v>163</v>
      </c>
      <c r="G377">
        <f t="shared" si="36"/>
        <v>76</v>
      </c>
      <c r="H377" t="str">
        <f t="shared" si="37"/>
        <v>Increase</v>
      </c>
      <c r="I377">
        <f t="shared" si="35"/>
        <v>-105</v>
      </c>
      <c r="J377">
        <f t="shared" si="38"/>
        <v>5819</v>
      </c>
      <c r="K377">
        <f t="shared" si="39"/>
        <v>6228</v>
      </c>
      <c r="L377">
        <f t="shared" si="40"/>
        <v>6617</v>
      </c>
      <c r="M377">
        <f t="shared" si="41"/>
        <v>5985.5</v>
      </c>
    </row>
    <row r="378" spans="1:13" x14ac:dyDescent="0.3">
      <c r="A378" s="2">
        <f>[1]HHS_Unaccompanied_Alien_Childre!G378</f>
        <v>45503</v>
      </c>
      <c r="B378">
        <f>[2]HHS_Unaccompanied_Alien_Childre!B378</f>
        <v>125</v>
      </c>
      <c r="C378">
        <f>[3]HHS_Unaccompanied_Alien_Childre!C378</f>
        <v>203</v>
      </c>
      <c r="D378">
        <f>[2]HHS_Unaccompanied_Alien_Childre!D378</f>
        <v>208</v>
      </c>
      <c r="E378">
        <f>[2]HHS_Unaccompanied_Alien_Childre!E378</f>
        <v>5930</v>
      </c>
      <c r="F378">
        <f>[3]HHS_Unaccompanied_Alien_Childre!F378</f>
        <v>92</v>
      </c>
      <c r="G378">
        <f t="shared" si="36"/>
        <v>111</v>
      </c>
      <c r="H378" t="str">
        <f t="shared" si="37"/>
        <v>Increase</v>
      </c>
      <c r="I378">
        <f t="shared" si="35"/>
        <v>-83</v>
      </c>
      <c r="J378">
        <f t="shared" si="38"/>
        <v>5930</v>
      </c>
      <c r="K378">
        <f t="shared" si="39"/>
        <v>6058</v>
      </c>
      <c r="L378">
        <f t="shared" si="40"/>
        <v>6651</v>
      </c>
      <c r="M378">
        <f t="shared" si="41"/>
        <v>5938.5</v>
      </c>
    </row>
    <row r="379" spans="1:13" x14ac:dyDescent="0.3">
      <c r="A379" s="2">
        <f>[1]HHS_Unaccompanied_Alien_Childre!G379</f>
        <v>45504</v>
      </c>
      <c r="B379">
        <f>[2]HHS_Unaccompanied_Alien_Childre!B379</f>
        <v>140</v>
      </c>
      <c r="C379">
        <f>[3]HHS_Unaccompanied_Alien_Childre!C379</f>
        <v>261</v>
      </c>
      <c r="D379">
        <f>[2]HHS_Unaccompanied_Alien_Childre!D379</f>
        <v>163</v>
      </c>
      <c r="E379">
        <f>[2]HHS_Unaccompanied_Alien_Childre!E379</f>
        <v>5963</v>
      </c>
      <c r="F379">
        <f>[3]HHS_Unaccompanied_Alien_Childre!F379</f>
        <v>154</v>
      </c>
      <c r="G379">
        <f t="shared" si="36"/>
        <v>33</v>
      </c>
      <c r="H379" t="str">
        <f t="shared" si="37"/>
        <v>Increase</v>
      </c>
      <c r="I379">
        <f t="shared" si="35"/>
        <v>-23</v>
      </c>
      <c r="J379">
        <f t="shared" si="38"/>
        <v>5963</v>
      </c>
      <c r="K379">
        <f t="shared" si="39"/>
        <v>6002</v>
      </c>
      <c r="L379">
        <f t="shared" si="40"/>
        <v>6649</v>
      </c>
      <c r="M379">
        <f t="shared" si="41"/>
        <v>5966</v>
      </c>
    </row>
    <row r="380" spans="1:13" x14ac:dyDescent="0.3">
      <c r="A380" s="2">
        <f>[1]HHS_Unaccompanied_Alien_Childre!G380</f>
        <v>45505</v>
      </c>
      <c r="B380">
        <f>[2]HHS_Unaccompanied_Alien_Childre!B380</f>
        <v>227</v>
      </c>
      <c r="C380">
        <f>[3]HHS_Unaccompanied_Alien_Childre!C380</f>
        <v>298</v>
      </c>
      <c r="D380">
        <f>[2]HHS_Unaccompanied_Alien_Childre!D380</f>
        <v>212</v>
      </c>
      <c r="E380">
        <f>[2]HHS_Unaccompanied_Alien_Childre!E380</f>
        <v>6016</v>
      </c>
      <c r="F380">
        <f>[3]HHS_Unaccompanied_Alien_Childre!F380</f>
        <v>169</v>
      </c>
      <c r="G380">
        <f t="shared" si="36"/>
        <v>53</v>
      </c>
      <c r="H380" t="str">
        <f t="shared" si="37"/>
        <v>Increase</v>
      </c>
      <c r="I380">
        <f t="shared" si="35"/>
        <v>15</v>
      </c>
      <c r="J380">
        <f t="shared" si="38"/>
        <v>6016</v>
      </c>
      <c r="K380">
        <f t="shared" si="39"/>
        <v>5965</v>
      </c>
      <c r="L380">
        <f t="shared" si="40"/>
        <v>6640</v>
      </c>
      <c r="M380">
        <f t="shared" si="41"/>
        <v>5964</v>
      </c>
    </row>
    <row r="381" spans="1:13" x14ac:dyDescent="0.3">
      <c r="A381" s="2">
        <f>[1]HHS_Unaccompanied_Alien_Childre!G381</f>
        <v>45508</v>
      </c>
      <c r="B381">
        <f>[2]HHS_Unaccompanied_Alien_Childre!B381</f>
        <v>63</v>
      </c>
      <c r="C381">
        <f>[3]HHS_Unaccompanied_Alien_Childre!C381</f>
        <v>167</v>
      </c>
      <c r="D381">
        <f>[2]HHS_Unaccompanied_Alien_Childre!D381</f>
        <v>143</v>
      </c>
      <c r="E381">
        <f>[2]HHS_Unaccompanied_Alien_Childre!E381</f>
        <v>5943</v>
      </c>
      <c r="F381">
        <f>[3]HHS_Unaccompanied_Alien_Childre!F381</f>
        <v>170</v>
      </c>
      <c r="G381">
        <f t="shared" si="36"/>
        <v>-73</v>
      </c>
      <c r="H381" t="str">
        <f t="shared" si="37"/>
        <v>Decrease</v>
      </c>
      <c r="I381">
        <f t="shared" si="35"/>
        <v>-80</v>
      </c>
      <c r="J381">
        <f t="shared" si="38"/>
        <v>5943</v>
      </c>
      <c r="K381">
        <f t="shared" si="39"/>
        <v>5927</v>
      </c>
      <c r="L381">
        <f t="shared" si="40"/>
        <v>6308</v>
      </c>
      <c r="M381">
        <f t="shared" si="41"/>
        <v>5971.5</v>
      </c>
    </row>
    <row r="382" spans="1:13" x14ac:dyDescent="0.3">
      <c r="A382" s="2">
        <f>[1]HHS_Unaccompanied_Alien_Childre!G382</f>
        <v>45509</v>
      </c>
      <c r="B382">
        <f>[2]HHS_Unaccompanied_Alien_Childre!B382</f>
        <v>172</v>
      </c>
      <c r="C382">
        <f>[3]HHS_Unaccompanied_Alien_Childre!C382</f>
        <v>259</v>
      </c>
      <c r="D382">
        <f>[2]HHS_Unaccompanied_Alien_Childre!D382</f>
        <v>138</v>
      </c>
      <c r="E382">
        <f>[2]HHS_Unaccompanied_Alien_Childre!E382</f>
        <v>5950</v>
      </c>
      <c r="F382">
        <f>[3]HHS_Unaccompanied_Alien_Childre!F382</f>
        <v>150</v>
      </c>
      <c r="G382">
        <f t="shared" si="36"/>
        <v>7</v>
      </c>
      <c r="H382" t="str">
        <f t="shared" si="37"/>
        <v>Increase</v>
      </c>
      <c r="I382">
        <f t="shared" si="35"/>
        <v>34</v>
      </c>
      <c r="J382">
        <f t="shared" si="38"/>
        <v>5950</v>
      </c>
      <c r="K382">
        <f t="shared" si="39"/>
        <v>5954</v>
      </c>
      <c r="L382">
        <f t="shared" si="40"/>
        <v>6283</v>
      </c>
      <c r="M382">
        <f t="shared" si="41"/>
        <v>5948.5</v>
      </c>
    </row>
    <row r="383" spans="1:13" x14ac:dyDescent="0.3">
      <c r="A383" s="2">
        <f>[1]HHS_Unaccompanied_Alien_Childre!G383</f>
        <v>45510</v>
      </c>
      <c r="B383">
        <f>[2]HHS_Unaccompanied_Alien_Childre!B383</f>
        <v>163</v>
      </c>
      <c r="C383">
        <f>[3]HHS_Unaccompanied_Alien_Childre!C383</f>
        <v>283</v>
      </c>
      <c r="D383">
        <f>[2]HHS_Unaccompanied_Alien_Childre!D383</f>
        <v>200</v>
      </c>
      <c r="E383">
        <f>[2]HHS_Unaccompanied_Alien_Childre!E383</f>
        <v>5998</v>
      </c>
      <c r="F383">
        <f>[3]HHS_Unaccompanied_Alien_Childre!F383</f>
        <v>143</v>
      </c>
      <c r="G383">
        <f t="shared" si="36"/>
        <v>48</v>
      </c>
      <c r="H383" t="str">
        <f t="shared" si="37"/>
        <v>Increase</v>
      </c>
      <c r="I383">
        <f t="shared" si="35"/>
        <v>-37</v>
      </c>
      <c r="J383">
        <f t="shared" si="38"/>
        <v>5998</v>
      </c>
      <c r="K383">
        <f t="shared" si="39"/>
        <v>5743</v>
      </c>
      <c r="L383">
        <f t="shared" si="40"/>
        <v>6239</v>
      </c>
      <c r="M383">
        <f t="shared" si="41"/>
        <v>5846.5</v>
      </c>
    </row>
    <row r="384" spans="1:13" x14ac:dyDescent="0.3">
      <c r="A384" s="2">
        <f>[1]HHS_Unaccompanied_Alien_Childre!G384</f>
        <v>45511</v>
      </c>
      <c r="B384">
        <f>[2]HHS_Unaccompanied_Alien_Childre!B384</f>
        <v>135</v>
      </c>
      <c r="C384">
        <f>[3]HHS_Unaccompanied_Alien_Childre!C384</f>
        <v>273</v>
      </c>
      <c r="D384">
        <f>[2]HHS_Unaccompanied_Alien_Childre!D384</f>
        <v>207</v>
      </c>
      <c r="E384">
        <f>[2]HHS_Unaccompanied_Alien_Childre!E384</f>
        <v>6038</v>
      </c>
      <c r="F384">
        <f>[3]HHS_Unaccompanied_Alien_Childre!F384</f>
        <v>174</v>
      </c>
      <c r="G384">
        <f t="shared" si="36"/>
        <v>40</v>
      </c>
      <c r="H384" t="str">
        <f t="shared" si="37"/>
        <v>Increase</v>
      </c>
      <c r="I384">
        <f t="shared" si="35"/>
        <v>-72</v>
      </c>
      <c r="J384">
        <f t="shared" si="38"/>
        <v>6038</v>
      </c>
      <c r="K384">
        <f t="shared" si="39"/>
        <v>5819</v>
      </c>
      <c r="L384">
        <f t="shared" si="40"/>
        <v>6228</v>
      </c>
      <c r="M384">
        <f t="shared" si="41"/>
        <v>5908.5</v>
      </c>
    </row>
    <row r="385" spans="1:13" x14ac:dyDescent="0.3">
      <c r="A385" s="2">
        <f>[1]HHS_Unaccompanied_Alien_Childre!G385</f>
        <v>45512</v>
      </c>
      <c r="B385">
        <f>[2]HHS_Unaccompanied_Alien_Childre!B385</f>
        <v>119</v>
      </c>
      <c r="C385">
        <f>[3]HHS_Unaccompanied_Alien_Childre!C385</f>
        <v>230</v>
      </c>
      <c r="D385">
        <f>[2]HHS_Unaccompanied_Alien_Childre!D385</f>
        <v>213</v>
      </c>
      <c r="E385">
        <f>[2]HHS_Unaccompanied_Alien_Childre!E385</f>
        <v>6084</v>
      </c>
      <c r="F385">
        <f>[3]HHS_Unaccompanied_Alien_Childre!F385</f>
        <v>174</v>
      </c>
      <c r="G385">
        <f t="shared" si="36"/>
        <v>46</v>
      </c>
      <c r="H385" t="str">
        <f t="shared" si="37"/>
        <v>Increase</v>
      </c>
      <c r="I385">
        <f t="shared" si="35"/>
        <v>-94</v>
      </c>
      <c r="J385">
        <f t="shared" si="38"/>
        <v>6084</v>
      </c>
      <c r="K385">
        <f t="shared" si="39"/>
        <v>5930</v>
      </c>
      <c r="L385">
        <f t="shared" si="40"/>
        <v>6058</v>
      </c>
      <c r="M385">
        <f t="shared" si="41"/>
        <v>5984</v>
      </c>
    </row>
    <row r="386" spans="1:13" x14ac:dyDescent="0.3">
      <c r="A386" s="2">
        <f>[1]HHS_Unaccompanied_Alien_Childre!G386</f>
        <v>45515</v>
      </c>
      <c r="B386">
        <f>[2]HHS_Unaccompanied_Alien_Childre!B386</f>
        <v>95</v>
      </c>
      <c r="C386">
        <f>[3]HHS_Unaccompanied_Alien_Childre!C386</f>
        <v>211</v>
      </c>
      <c r="D386">
        <f>[2]HHS_Unaccompanied_Alien_Childre!D386</f>
        <v>140</v>
      </c>
      <c r="E386">
        <f>[2]HHS_Unaccompanied_Alien_Childre!E386</f>
        <v>5894</v>
      </c>
      <c r="F386">
        <f>[3]HHS_Unaccompanied_Alien_Childre!F386</f>
        <v>249</v>
      </c>
      <c r="G386">
        <f t="shared" si="36"/>
        <v>-190</v>
      </c>
      <c r="H386" t="str">
        <f t="shared" si="37"/>
        <v>Decrease</v>
      </c>
      <c r="I386">
        <f t="shared" si="35"/>
        <v>-45</v>
      </c>
      <c r="J386">
        <f t="shared" si="38"/>
        <v>5894</v>
      </c>
      <c r="K386">
        <f t="shared" si="39"/>
        <v>5963</v>
      </c>
      <c r="L386">
        <f t="shared" si="40"/>
        <v>6002</v>
      </c>
      <c r="M386">
        <f t="shared" si="41"/>
        <v>6023.5</v>
      </c>
    </row>
    <row r="387" spans="1:13" x14ac:dyDescent="0.3">
      <c r="A387" s="2">
        <f>[1]HHS_Unaccompanied_Alien_Childre!G387</f>
        <v>45516</v>
      </c>
      <c r="B387">
        <f>[2]HHS_Unaccompanied_Alien_Childre!B387</f>
        <v>109</v>
      </c>
      <c r="C387">
        <f>[3]HHS_Unaccompanied_Alien_Childre!C387</f>
        <v>219</v>
      </c>
      <c r="D387">
        <f>[2]HHS_Unaccompanied_Alien_Childre!D387</f>
        <v>155</v>
      </c>
      <c r="E387">
        <f>[2]HHS_Unaccompanied_Alien_Childre!E387</f>
        <v>5903</v>
      </c>
      <c r="F387">
        <f>[3]HHS_Unaccompanied_Alien_Childre!F387</f>
        <v>148</v>
      </c>
      <c r="G387">
        <f t="shared" si="36"/>
        <v>9</v>
      </c>
      <c r="H387" t="str">
        <f t="shared" si="37"/>
        <v>Increase</v>
      </c>
      <c r="I387">
        <f t="shared" ref="I387:I450" si="42">B387-D387</f>
        <v>-46</v>
      </c>
      <c r="J387">
        <f t="shared" si="38"/>
        <v>5903</v>
      </c>
      <c r="K387">
        <f t="shared" si="39"/>
        <v>6016</v>
      </c>
      <c r="L387">
        <f t="shared" si="40"/>
        <v>5965</v>
      </c>
      <c r="M387">
        <f t="shared" si="41"/>
        <v>5955</v>
      </c>
    </row>
    <row r="388" spans="1:13" x14ac:dyDescent="0.3">
      <c r="A388" s="2">
        <f>[1]HHS_Unaccompanied_Alien_Childre!G388</f>
        <v>45517</v>
      </c>
      <c r="B388">
        <f>[2]HHS_Unaccompanied_Alien_Childre!B388</f>
        <v>162</v>
      </c>
      <c r="C388">
        <f>[3]HHS_Unaccompanied_Alien_Childre!C388</f>
        <v>239</v>
      </c>
      <c r="D388">
        <f>[2]HHS_Unaccompanied_Alien_Childre!D388</f>
        <v>189</v>
      </c>
      <c r="E388">
        <f>[2]HHS_Unaccompanied_Alien_Childre!E388</f>
        <v>5981</v>
      </c>
      <c r="F388">
        <f>[3]HHS_Unaccompanied_Alien_Childre!F388</f>
        <v>123</v>
      </c>
      <c r="G388">
        <f t="shared" ref="G388:G451" si="43">E388-E387</f>
        <v>78</v>
      </c>
      <c r="H388" t="str">
        <f t="shared" ref="H388:H451" si="44">IF(G388&gt;0,"Increase",IF(G388&lt;0,"Decrease","No Change"))</f>
        <v>Increase</v>
      </c>
      <c r="I388">
        <f t="shared" si="42"/>
        <v>-27</v>
      </c>
      <c r="J388">
        <f t="shared" si="38"/>
        <v>5981</v>
      </c>
      <c r="K388">
        <f t="shared" si="39"/>
        <v>5943</v>
      </c>
      <c r="L388">
        <f t="shared" si="40"/>
        <v>5927</v>
      </c>
      <c r="M388">
        <f t="shared" si="41"/>
        <v>5923</v>
      </c>
    </row>
    <row r="389" spans="1:13" x14ac:dyDescent="0.3">
      <c r="A389" s="2">
        <f>[1]HHS_Unaccompanied_Alien_Childre!G389</f>
        <v>45518</v>
      </c>
      <c r="B389">
        <f>[2]HHS_Unaccompanied_Alien_Childre!B389</f>
        <v>109</v>
      </c>
      <c r="C389">
        <f>[3]HHS_Unaccompanied_Alien_Childre!C389</f>
        <v>226</v>
      </c>
      <c r="D389">
        <f>[2]HHS_Unaccompanied_Alien_Childre!D389</f>
        <v>191</v>
      </c>
      <c r="E389">
        <f>[2]HHS_Unaccompanied_Alien_Childre!E389</f>
        <v>5987</v>
      </c>
      <c r="F389">
        <f>[3]HHS_Unaccompanied_Alien_Childre!F389</f>
        <v>178</v>
      </c>
      <c r="G389">
        <f t="shared" si="43"/>
        <v>6</v>
      </c>
      <c r="H389" t="str">
        <f t="shared" si="44"/>
        <v>Increase</v>
      </c>
      <c r="I389">
        <f t="shared" si="42"/>
        <v>-82</v>
      </c>
      <c r="J389">
        <f t="shared" si="38"/>
        <v>5987</v>
      </c>
      <c r="K389">
        <f t="shared" si="39"/>
        <v>5950</v>
      </c>
      <c r="L389">
        <f t="shared" si="40"/>
        <v>5954</v>
      </c>
      <c r="M389">
        <f t="shared" si="41"/>
        <v>5965.5</v>
      </c>
    </row>
    <row r="390" spans="1:13" x14ac:dyDescent="0.3">
      <c r="A390" s="2">
        <f>[1]HHS_Unaccompanied_Alien_Childre!G390</f>
        <v>45519</v>
      </c>
      <c r="B390">
        <f>[2]HHS_Unaccompanied_Alien_Childre!B390</f>
        <v>124</v>
      </c>
      <c r="C390">
        <f>[3]HHS_Unaccompanied_Alien_Childre!C390</f>
        <v>241</v>
      </c>
      <c r="D390">
        <f>[2]HHS_Unaccompanied_Alien_Childre!D390</f>
        <v>156</v>
      </c>
      <c r="E390">
        <f>[2]HHS_Unaccompanied_Alien_Childre!E390</f>
        <v>5895</v>
      </c>
      <c r="F390">
        <f>[3]HHS_Unaccompanied_Alien_Childre!F390</f>
        <v>220</v>
      </c>
      <c r="G390">
        <f t="shared" si="43"/>
        <v>-92</v>
      </c>
      <c r="H390" t="str">
        <f t="shared" si="44"/>
        <v>Decrease</v>
      </c>
      <c r="I390">
        <f t="shared" si="42"/>
        <v>-32</v>
      </c>
      <c r="J390">
        <f t="shared" si="38"/>
        <v>5895</v>
      </c>
      <c r="K390">
        <f t="shared" si="39"/>
        <v>5998</v>
      </c>
      <c r="L390">
        <f t="shared" si="40"/>
        <v>5743</v>
      </c>
      <c r="M390">
        <f t="shared" si="41"/>
        <v>5992.5</v>
      </c>
    </row>
    <row r="391" spans="1:13" x14ac:dyDescent="0.3">
      <c r="A391" s="2">
        <f>[1]HHS_Unaccompanied_Alien_Childre!G391</f>
        <v>45522</v>
      </c>
      <c r="B391">
        <f>[2]HHS_Unaccompanied_Alien_Childre!B391</f>
        <v>86</v>
      </c>
      <c r="C391">
        <f>[3]HHS_Unaccompanied_Alien_Childre!C391</f>
        <v>244</v>
      </c>
      <c r="D391">
        <f>[2]HHS_Unaccompanied_Alien_Childre!D391</f>
        <v>235</v>
      </c>
      <c r="E391">
        <f>[2]HHS_Unaccompanied_Alien_Childre!E391</f>
        <v>5821</v>
      </c>
      <c r="F391">
        <f>[3]HHS_Unaccompanied_Alien_Childre!F391</f>
        <v>178</v>
      </c>
      <c r="G391">
        <f t="shared" si="43"/>
        <v>-74</v>
      </c>
      <c r="H391" t="str">
        <f t="shared" si="44"/>
        <v>Decrease</v>
      </c>
      <c r="I391">
        <f t="shared" si="42"/>
        <v>-149</v>
      </c>
      <c r="J391">
        <f t="shared" si="38"/>
        <v>5821</v>
      </c>
      <c r="K391">
        <f t="shared" si="39"/>
        <v>6038</v>
      </c>
      <c r="L391">
        <f t="shared" si="40"/>
        <v>5819</v>
      </c>
      <c r="M391">
        <f t="shared" si="41"/>
        <v>5966.5</v>
      </c>
    </row>
    <row r="392" spans="1:13" x14ac:dyDescent="0.3">
      <c r="A392" s="2">
        <f>[1]HHS_Unaccompanied_Alien_Childre!G392</f>
        <v>45523</v>
      </c>
      <c r="B392">
        <f>[2]HHS_Unaccompanied_Alien_Childre!B392</f>
        <v>176</v>
      </c>
      <c r="C392">
        <f>[3]HHS_Unaccompanied_Alien_Childre!C392</f>
        <v>254</v>
      </c>
      <c r="D392">
        <f>[2]HHS_Unaccompanied_Alien_Childre!D392</f>
        <v>162</v>
      </c>
      <c r="E392">
        <f>[2]HHS_Unaccompanied_Alien_Childre!E392</f>
        <v>5865</v>
      </c>
      <c r="F392">
        <f>[3]HHS_Unaccompanied_Alien_Childre!F392</f>
        <v>158</v>
      </c>
      <c r="G392">
        <f t="shared" si="43"/>
        <v>44</v>
      </c>
      <c r="H392" t="str">
        <f t="shared" si="44"/>
        <v>Increase</v>
      </c>
      <c r="I392">
        <f t="shared" si="42"/>
        <v>14</v>
      </c>
      <c r="J392">
        <f t="shared" si="38"/>
        <v>5865</v>
      </c>
      <c r="K392">
        <f t="shared" si="39"/>
        <v>6084</v>
      </c>
      <c r="L392">
        <f t="shared" si="40"/>
        <v>5930</v>
      </c>
      <c r="M392">
        <f t="shared" si="41"/>
        <v>5952.5</v>
      </c>
    </row>
    <row r="393" spans="1:13" x14ac:dyDescent="0.3">
      <c r="A393" s="2">
        <f>[1]HHS_Unaccompanied_Alien_Childre!G393</f>
        <v>45524</v>
      </c>
      <c r="B393">
        <f>[2]HHS_Unaccompanied_Alien_Childre!B393</f>
        <v>136</v>
      </c>
      <c r="C393">
        <f>[3]HHS_Unaccompanied_Alien_Childre!C393</f>
        <v>274</v>
      </c>
      <c r="D393">
        <f>[2]HHS_Unaccompanied_Alien_Childre!D393</f>
        <v>245</v>
      </c>
      <c r="E393">
        <f>[2]HHS_Unaccompanied_Alien_Childre!E393</f>
        <v>5995</v>
      </c>
      <c r="F393">
        <f>[3]HHS_Unaccompanied_Alien_Childre!F393</f>
        <v>112</v>
      </c>
      <c r="G393">
        <f t="shared" si="43"/>
        <v>130</v>
      </c>
      <c r="H393" t="str">
        <f t="shared" si="44"/>
        <v>Increase</v>
      </c>
      <c r="I393">
        <f t="shared" si="42"/>
        <v>-109</v>
      </c>
      <c r="J393">
        <f t="shared" si="38"/>
        <v>5995</v>
      </c>
      <c r="K393">
        <f t="shared" si="39"/>
        <v>5894</v>
      </c>
      <c r="L393">
        <f t="shared" si="40"/>
        <v>5963</v>
      </c>
      <c r="M393">
        <f t="shared" si="41"/>
        <v>5879.5</v>
      </c>
    </row>
    <row r="394" spans="1:13" x14ac:dyDescent="0.3">
      <c r="A394" s="2">
        <f>[1]HHS_Unaccompanied_Alien_Childre!G394</f>
        <v>45525</v>
      </c>
      <c r="B394">
        <f>[2]HHS_Unaccompanied_Alien_Childre!B394</f>
        <v>134</v>
      </c>
      <c r="C394">
        <f>[3]HHS_Unaccompanied_Alien_Childre!C394</f>
        <v>245</v>
      </c>
      <c r="D394">
        <f>[2]HHS_Unaccompanied_Alien_Childre!D394</f>
        <v>167</v>
      </c>
      <c r="E394">
        <f>[2]HHS_Unaccompanied_Alien_Childre!E394</f>
        <v>6028</v>
      </c>
      <c r="F394">
        <f>[3]HHS_Unaccompanied_Alien_Childre!F394</f>
        <v>156</v>
      </c>
      <c r="G394">
        <f t="shared" si="43"/>
        <v>33</v>
      </c>
      <c r="H394" t="str">
        <f t="shared" si="44"/>
        <v>Increase</v>
      </c>
      <c r="I394">
        <f t="shared" si="42"/>
        <v>-33</v>
      </c>
      <c r="J394">
        <f t="shared" si="38"/>
        <v>6028</v>
      </c>
      <c r="K394">
        <f t="shared" si="39"/>
        <v>5903</v>
      </c>
      <c r="L394">
        <f t="shared" si="40"/>
        <v>6016</v>
      </c>
      <c r="M394">
        <f t="shared" si="41"/>
        <v>5949</v>
      </c>
    </row>
    <row r="395" spans="1:13" x14ac:dyDescent="0.3">
      <c r="A395" s="2">
        <f>[1]HHS_Unaccompanied_Alien_Childre!G395</f>
        <v>45526</v>
      </c>
      <c r="B395">
        <f>[2]HHS_Unaccompanied_Alien_Childre!B395</f>
        <v>182</v>
      </c>
      <c r="C395">
        <f>[3]HHS_Unaccompanied_Alien_Childre!C395</f>
        <v>307</v>
      </c>
      <c r="D395">
        <f>[2]HHS_Unaccompanied_Alien_Childre!D395</f>
        <v>205</v>
      </c>
      <c r="E395">
        <f>[2]HHS_Unaccompanied_Alien_Childre!E395</f>
        <v>6054</v>
      </c>
      <c r="F395">
        <f>[3]HHS_Unaccompanied_Alien_Childre!F395</f>
        <v>171</v>
      </c>
      <c r="G395">
        <f t="shared" si="43"/>
        <v>26</v>
      </c>
      <c r="H395" t="str">
        <f t="shared" si="44"/>
        <v>Increase</v>
      </c>
      <c r="I395">
        <f t="shared" si="42"/>
        <v>-23</v>
      </c>
      <c r="J395">
        <f t="shared" si="38"/>
        <v>6054</v>
      </c>
      <c r="K395">
        <f t="shared" si="39"/>
        <v>5981</v>
      </c>
      <c r="L395">
        <f t="shared" si="40"/>
        <v>5943</v>
      </c>
      <c r="M395">
        <f t="shared" si="41"/>
        <v>6004.5</v>
      </c>
    </row>
    <row r="396" spans="1:13" x14ac:dyDescent="0.3">
      <c r="A396" s="2">
        <f>[1]HHS_Unaccompanied_Alien_Childre!G396</f>
        <v>45531</v>
      </c>
      <c r="B396">
        <f>[2]HHS_Unaccompanied_Alien_Childre!B396</f>
        <v>149</v>
      </c>
      <c r="C396">
        <f>[3]HHS_Unaccompanied_Alien_Childre!C396</f>
        <v>285</v>
      </c>
      <c r="D396">
        <f>[2]HHS_Unaccompanied_Alien_Childre!D396</f>
        <v>222</v>
      </c>
      <c r="E396">
        <f>[2]HHS_Unaccompanied_Alien_Childre!E396</f>
        <v>6152</v>
      </c>
      <c r="F396">
        <f>[3]HHS_Unaccompanied_Alien_Childre!F396</f>
        <v>97</v>
      </c>
      <c r="G396">
        <f t="shared" si="43"/>
        <v>98</v>
      </c>
      <c r="H396" t="str">
        <f t="shared" si="44"/>
        <v>Increase</v>
      </c>
      <c r="I396">
        <f t="shared" si="42"/>
        <v>-73</v>
      </c>
      <c r="J396">
        <f t="shared" si="38"/>
        <v>6152</v>
      </c>
      <c r="K396">
        <f t="shared" si="39"/>
        <v>5987</v>
      </c>
      <c r="L396">
        <f t="shared" si="40"/>
        <v>5950</v>
      </c>
      <c r="M396">
        <f t="shared" si="41"/>
        <v>6020.5</v>
      </c>
    </row>
    <row r="397" spans="1:13" x14ac:dyDescent="0.3">
      <c r="A397" s="2">
        <f>[1]HHS_Unaccompanied_Alien_Childre!G397</f>
        <v>45532</v>
      </c>
      <c r="B397">
        <f>[2]HHS_Unaccompanied_Alien_Childre!B397</f>
        <v>170</v>
      </c>
      <c r="C397">
        <f>[3]HHS_Unaccompanied_Alien_Childre!C397</f>
        <v>285</v>
      </c>
      <c r="D397">
        <f>[2]HHS_Unaccompanied_Alien_Childre!D397</f>
        <v>178</v>
      </c>
      <c r="E397">
        <f>[2]HHS_Unaccompanied_Alien_Childre!E397</f>
        <v>6227</v>
      </c>
      <c r="F397">
        <f>[3]HHS_Unaccompanied_Alien_Childre!F397</f>
        <v>134</v>
      </c>
      <c r="G397">
        <f t="shared" si="43"/>
        <v>75</v>
      </c>
      <c r="H397" t="str">
        <f t="shared" si="44"/>
        <v>Increase</v>
      </c>
      <c r="I397">
        <f t="shared" si="42"/>
        <v>-8</v>
      </c>
      <c r="J397">
        <f t="shared" si="38"/>
        <v>6227</v>
      </c>
      <c r="K397">
        <f t="shared" si="39"/>
        <v>5895</v>
      </c>
      <c r="L397">
        <f t="shared" si="40"/>
        <v>5998</v>
      </c>
      <c r="M397">
        <f t="shared" si="41"/>
        <v>6023.5</v>
      </c>
    </row>
    <row r="398" spans="1:13" x14ac:dyDescent="0.3">
      <c r="A398" s="2">
        <f>[1]HHS_Unaccompanied_Alien_Childre!G398</f>
        <v>45533</v>
      </c>
      <c r="B398">
        <f>[2]HHS_Unaccompanied_Alien_Childre!B398</f>
        <v>145</v>
      </c>
      <c r="C398">
        <f>[3]HHS_Unaccompanied_Alien_Childre!C398</f>
        <v>295</v>
      </c>
      <c r="D398">
        <f>[2]HHS_Unaccompanied_Alien_Childre!D398</f>
        <v>188</v>
      </c>
      <c r="E398">
        <f>[2]HHS_Unaccompanied_Alien_Childre!E398</f>
        <v>6250</v>
      </c>
      <c r="F398">
        <f>[3]HHS_Unaccompanied_Alien_Childre!F398</f>
        <v>169</v>
      </c>
      <c r="G398">
        <f t="shared" si="43"/>
        <v>23</v>
      </c>
      <c r="H398" t="str">
        <f t="shared" si="44"/>
        <v>Increase</v>
      </c>
      <c r="I398">
        <f t="shared" si="42"/>
        <v>-43</v>
      </c>
      <c r="J398">
        <f t="shared" si="38"/>
        <v>6250</v>
      </c>
      <c r="K398">
        <f t="shared" si="39"/>
        <v>5821</v>
      </c>
      <c r="L398">
        <f t="shared" si="40"/>
        <v>6038</v>
      </c>
      <c r="M398">
        <f t="shared" si="41"/>
        <v>6024</v>
      </c>
    </row>
    <row r="399" spans="1:13" x14ac:dyDescent="0.3">
      <c r="A399" s="2">
        <f>[1]HHS_Unaccompanied_Alien_Childre!G399</f>
        <v>45537</v>
      </c>
      <c r="B399">
        <f>[2]HHS_Unaccompanied_Alien_Childre!B399</f>
        <v>133</v>
      </c>
      <c r="C399">
        <f>[3]HHS_Unaccompanied_Alien_Childre!C399</f>
        <v>270</v>
      </c>
      <c r="D399">
        <f>[2]HHS_Unaccompanied_Alien_Childre!D399</f>
        <v>198</v>
      </c>
      <c r="E399">
        <f>[2]HHS_Unaccompanied_Alien_Childre!E399</f>
        <v>6192</v>
      </c>
      <c r="F399">
        <f>[3]HHS_Unaccompanied_Alien_Childre!F399</f>
        <v>129</v>
      </c>
      <c r="G399">
        <f t="shared" si="43"/>
        <v>-58</v>
      </c>
      <c r="H399" t="str">
        <f t="shared" si="44"/>
        <v>Decrease</v>
      </c>
      <c r="I399">
        <f t="shared" si="42"/>
        <v>-65</v>
      </c>
      <c r="J399">
        <f t="shared" si="38"/>
        <v>6192</v>
      </c>
      <c r="K399">
        <f t="shared" si="39"/>
        <v>5865</v>
      </c>
      <c r="L399">
        <f t="shared" si="40"/>
        <v>6084</v>
      </c>
      <c r="M399">
        <f t="shared" si="41"/>
        <v>6057.5</v>
      </c>
    </row>
    <row r="400" spans="1:13" x14ac:dyDescent="0.3">
      <c r="A400" s="2">
        <f>[1]HHS_Unaccompanied_Alien_Childre!G400</f>
        <v>45538</v>
      </c>
      <c r="B400">
        <f>[2]HHS_Unaccompanied_Alien_Childre!B400</f>
        <v>131</v>
      </c>
      <c r="C400">
        <f>[3]HHS_Unaccompanied_Alien_Childre!C400</f>
        <v>263</v>
      </c>
      <c r="D400">
        <f>[2]HHS_Unaccompanied_Alien_Childre!D400</f>
        <v>177</v>
      </c>
      <c r="E400">
        <f>[2]HHS_Unaccompanied_Alien_Childre!E400</f>
        <v>6272</v>
      </c>
      <c r="F400">
        <f>[3]HHS_Unaccompanied_Alien_Childre!F400</f>
        <v>112</v>
      </c>
      <c r="G400">
        <f t="shared" si="43"/>
        <v>80</v>
      </c>
      <c r="H400" t="str">
        <f t="shared" si="44"/>
        <v>Increase</v>
      </c>
      <c r="I400">
        <f t="shared" si="42"/>
        <v>-46</v>
      </c>
      <c r="J400">
        <f t="shared" si="38"/>
        <v>6272</v>
      </c>
      <c r="K400">
        <f t="shared" si="39"/>
        <v>5995</v>
      </c>
      <c r="L400">
        <f t="shared" si="40"/>
        <v>5894</v>
      </c>
      <c r="M400">
        <f t="shared" si="41"/>
        <v>6093.5</v>
      </c>
    </row>
    <row r="401" spans="1:13" x14ac:dyDescent="0.3">
      <c r="A401" s="2">
        <f>[1]HHS_Unaccompanied_Alien_Childre!G401</f>
        <v>45539</v>
      </c>
      <c r="B401">
        <f>[2]HHS_Unaccompanied_Alien_Childre!B401</f>
        <v>121</v>
      </c>
      <c r="C401">
        <f>[3]HHS_Unaccompanied_Alien_Childre!C401</f>
        <v>231</v>
      </c>
      <c r="D401">
        <f>[2]HHS_Unaccompanied_Alien_Childre!D401</f>
        <v>219</v>
      </c>
      <c r="E401">
        <f>[2]HHS_Unaccompanied_Alien_Childre!E401</f>
        <v>6375</v>
      </c>
      <c r="F401">
        <f>[3]HHS_Unaccompanied_Alien_Childre!F401</f>
        <v>114</v>
      </c>
      <c r="G401">
        <f t="shared" si="43"/>
        <v>103</v>
      </c>
      <c r="H401" t="str">
        <f t="shared" si="44"/>
        <v>Increase</v>
      </c>
      <c r="I401">
        <f t="shared" si="42"/>
        <v>-98</v>
      </c>
      <c r="J401">
        <f t="shared" ref="J401:J464" si="45">E401</f>
        <v>6375</v>
      </c>
      <c r="K401">
        <f t="shared" ref="K401:K464" si="46">E394</f>
        <v>6028</v>
      </c>
      <c r="L401">
        <f t="shared" ref="L401:L464" si="47">E387</f>
        <v>5903</v>
      </c>
      <c r="M401">
        <f t="shared" ref="M401:M464" si="48">AVERAGE(E394,E400)</f>
        <v>6150</v>
      </c>
    </row>
    <row r="402" spans="1:13" x14ac:dyDescent="0.3">
      <c r="A402" s="2">
        <f>[1]HHS_Unaccompanied_Alien_Childre!G402</f>
        <v>45540</v>
      </c>
      <c r="B402">
        <f>[2]HHS_Unaccompanied_Alien_Childre!B402</f>
        <v>126</v>
      </c>
      <c r="C402">
        <f>[3]HHS_Unaccompanied_Alien_Childre!C402</f>
        <v>230</v>
      </c>
      <c r="D402">
        <f>[2]HHS_Unaccompanied_Alien_Childre!D402</f>
        <v>175</v>
      </c>
      <c r="E402">
        <f>[2]HHS_Unaccompanied_Alien_Childre!E402</f>
        <v>6448</v>
      </c>
      <c r="F402">
        <f>[3]HHS_Unaccompanied_Alien_Childre!F402</f>
        <v>121</v>
      </c>
      <c r="G402">
        <f t="shared" si="43"/>
        <v>73</v>
      </c>
      <c r="H402" t="str">
        <f t="shared" si="44"/>
        <v>Increase</v>
      </c>
      <c r="I402">
        <f t="shared" si="42"/>
        <v>-49</v>
      </c>
      <c r="J402">
        <f t="shared" si="45"/>
        <v>6448</v>
      </c>
      <c r="K402">
        <f t="shared" si="46"/>
        <v>6054</v>
      </c>
      <c r="L402">
        <f t="shared" si="47"/>
        <v>5981</v>
      </c>
      <c r="M402">
        <f t="shared" si="48"/>
        <v>6214.5</v>
      </c>
    </row>
    <row r="403" spans="1:13" x14ac:dyDescent="0.3">
      <c r="A403" s="2">
        <f>[1]HHS_Unaccompanied_Alien_Childre!G403</f>
        <v>45543</v>
      </c>
      <c r="B403">
        <f>[2]HHS_Unaccompanied_Alien_Childre!B403</f>
        <v>123</v>
      </c>
      <c r="C403">
        <f>[3]HHS_Unaccompanied_Alien_Childre!C403</f>
        <v>255</v>
      </c>
      <c r="D403">
        <f>[2]HHS_Unaccompanied_Alien_Childre!D403</f>
        <v>164</v>
      </c>
      <c r="E403">
        <f>[2]HHS_Unaccompanied_Alien_Childre!E403</f>
        <v>6312</v>
      </c>
      <c r="F403">
        <f>[3]HHS_Unaccompanied_Alien_Childre!F403</f>
        <v>221</v>
      </c>
      <c r="G403">
        <f t="shared" si="43"/>
        <v>-136</v>
      </c>
      <c r="H403" t="str">
        <f t="shared" si="44"/>
        <v>Decrease</v>
      </c>
      <c r="I403">
        <f t="shared" si="42"/>
        <v>-41</v>
      </c>
      <c r="J403">
        <f t="shared" si="45"/>
        <v>6312</v>
      </c>
      <c r="K403">
        <f t="shared" si="46"/>
        <v>6152</v>
      </c>
      <c r="L403">
        <f t="shared" si="47"/>
        <v>5987</v>
      </c>
      <c r="M403">
        <f t="shared" si="48"/>
        <v>6300</v>
      </c>
    </row>
    <row r="404" spans="1:13" x14ac:dyDescent="0.3">
      <c r="A404" s="2">
        <f>[1]HHS_Unaccompanied_Alien_Childre!G404</f>
        <v>45544</v>
      </c>
      <c r="B404">
        <f>[2]HHS_Unaccompanied_Alien_Childre!B404</f>
        <v>144</v>
      </c>
      <c r="C404">
        <f>[3]HHS_Unaccompanied_Alien_Childre!C404</f>
        <v>275</v>
      </c>
      <c r="D404">
        <f>[2]HHS_Unaccompanied_Alien_Childre!D404</f>
        <v>190</v>
      </c>
      <c r="E404">
        <f>[2]HHS_Unaccompanied_Alien_Childre!E404</f>
        <v>6353</v>
      </c>
      <c r="F404">
        <f>[3]HHS_Unaccompanied_Alien_Childre!F404</f>
        <v>141</v>
      </c>
      <c r="G404">
        <f t="shared" si="43"/>
        <v>41</v>
      </c>
      <c r="H404" t="str">
        <f t="shared" si="44"/>
        <v>Increase</v>
      </c>
      <c r="I404">
        <f t="shared" si="42"/>
        <v>-46</v>
      </c>
      <c r="J404">
        <f t="shared" si="45"/>
        <v>6353</v>
      </c>
      <c r="K404">
        <f t="shared" si="46"/>
        <v>6227</v>
      </c>
      <c r="L404">
        <f t="shared" si="47"/>
        <v>5895</v>
      </c>
      <c r="M404">
        <f t="shared" si="48"/>
        <v>6269.5</v>
      </c>
    </row>
    <row r="405" spans="1:13" x14ac:dyDescent="0.3">
      <c r="A405" s="2">
        <f>[1]HHS_Unaccompanied_Alien_Childre!G405</f>
        <v>45545</v>
      </c>
      <c r="B405">
        <f>[2]HHS_Unaccompanied_Alien_Childre!B405</f>
        <v>131</v>
      </c>
      <c r="C405">
        <f>[3]HHS_Unaccompanied_Alien_Childre!C405</f>
        <v>251</v>
      </c>
      <c r="D405">
        <f>[2]HHS_Unaccompanied_Alien_Childre!D405</f>
        <v>180</v>
      </c>
      <c r="E405">
        <f>[2]HHS_Unaccompanied_Alien_Childre!E405</f>
        <v>6396</v>
      </c>
      <c r="F405">
        <f>[3]HHS_Unaccompanied_Alien_Childre!F405</f>
        <v>148</v>
      </c>
      <c r="G405">
        <f t="shared" si="43"/>
        <v>43</v>
      </c>
      <c r="H405" t="str">
        <f t="shared" si="44"/>
        <v>Increase</v>
      </c>
      <c r="I405">
        <f t="shared" si="42"/>
        <v>-49</v>
      </c>
      <c r="J405">
        <f t="shared" si="45"/>
        <v>6396</v>
      </c>
      <c r="K405">
        <f t="shared" si="46"/>
        <v>6250</v>
      </c>
      <c r="L405">
        <f t="shared" si="47"/>
        <v>5821</v>
      </c>
      <c r="M405">
        <f t="shared" si="48"/>
        <v>6301.5</v>
      </c>
    </row>
    <row r="406" spans="1:13" x14ac:dyDescent="0.3">
      <c r="A406" s="2">
        <f>[1]HHS_Unaccompanied_Alien_Childre!G406</f>
        <v>45546</v>
      </c>
      <c r="B406">
        <f>[2]HHS_Unaccompanied_Alien_Childre!B406</f>
        <v>93</v>
      </c>
      <c r="C406">
        <f>[3]HHS_Unaccompanied_Alien_Childre!C406</f>
        <v>248</v>
      </c>
      <c r="D406">
        <f>[2]HHS_Unaccompanied_Alien_Childre!D406</f>
        <v>175</v>
      </c>
      <c r="E406">
        <f>[2]HHS_Unaccompanied_Alien_Childre!E406</f>
        <v>6410</v>
      </c>
      <c r="F406">
        <f>[3]HHS_Unaccompanied_Alien_Childre!F406</f>
        <v>162</v>
      </c>
      <c r="G406">
        <f t="shared" si="43"/>
        <v>14</v>
      </c>
      <c r="H406" t="str">
        <f t="shared" si="44"/>
        <v>Increase</v>
      </c>
      <c r="I406">
        <f t="shared" si="42"/>
        <v>-82</v>
      </c>
      <c r="J406">
        <f t="shared" si="45"/>
        <v>6410</v>
      </c>
      <c r="K406">
        <f t="shared" si="46"/>
        <v>6192</v>
      </c>
      <c r="L406">
        <f t="shared" si="47"/>
        <v>5865</v>
      </c>
      <c r="M406">
        <f t="shared" si="48"/>
        <v>6294</v>
      </c>
    </row>
    <row r="407" spans="1:13" x14ac:dyDescent="0.3">
      <c r="A407" s="2">
        <f>[1]HHS_Unaccompanied_Alien_Childre!G407</f>
        <v>45547</v>
      </c>
      <c r="B407">
        <f>[2]HHS_Unaccompanied_Alien_Childre!B407</f>
        <v>184</v>
      </c>
      <c r="C407">
        <f>[3]HHS_Unaccompanied_Alien_Childre!C407</f>
        <v>280</v>
      </c>
      <c r="D407">
        <f>[2]HHS_Unaccompanied_Alien_Childre!D407</f>
        <v>210</v>
      </c>
      <c r="E407">
        <f>[2]HHS_Unaccompanied_Alien_Childre!E407</f>
        <v>6360</v>
      </c>
      <c r="F407">
        <f>[3]HHS_Unaccompanied_Alien_Childre!F407</f>
        <v>220</v>
      </c>
      <c r="G407">
        <f t="shared" si="43"/>
        <v>-50</v>
      </c>
      <c r="H407" t="str">
        <f t="shared" si="44"/>
        <v>Decrease</v>
      </c>
      <c r="I407">
        <f t="shared" si="42"/>
        <v>-26</v>
      </c>
      <c r="J407">
        <f t="shared" si="45"/>
        <v>6360</v>
      </c>
      <c r="K407">
        <f t="shared" si="46"/>
        <v>6272</v>
      </c>
      <c r="L407">
        <f t="shared" si="47"/>
        <v>5995</v>
      </c>
      <c r="M407">
        <f t="shared" si="48"/>
        <v>6341</v>
      </c>
    </row>
    <row r="408" spans="1:13" x14ac:dyDescent="0.3">
      <c r="A408" s="2">
        <f>[1]HHS_Unaccompanied_Alien_Childre!G408</f>
        <v>45548</v>
      </c>
      <c r="B408">
        <f>[2]HHS_Unaccompanied_Alien_Childre!B408</f>
        <v>81</v>
      </c>
      <c r="C408">
        <f>[3]HHS_Unaccompanied_Alien_Childre!C408</f>
        <v>200</v>
      </c>
      <c r="D408">
        <f>[2]HHS_Unaccompanied_Alien_Childre!D408</f>
        <v>212</v>
      </c>
      <c r="E408">
        <f>[2]HHS_Unaccompanied_Alien_Childre!E408</f>
        <v>6326</v>
      </c>
      <c r="F408">
        <f>[3]HHS_Unaccompanied_Alien_Childre!F408</f>
        <v>279</v>
      </c>
      <c r="G408">
        <f t="shared" si="43"/>
        <v>-34</v>
      </c>
      <c r="H408" t="str">
        <f t="shared" si="44"/>
        <v>Decrease</v>
      </c>
      <c r="I408">
        <f t="shared" si="42"/>
        <v>-131</v>
      </c>
      <c r="J408">
        <f t="shared" si="45"/>
        <v>6326</v>
      </c>
      <c r="K408">
        <f t="shared" si="46"/>
        <v>6375</v>
      </c>
      <c r="L408">
        <f t="shared" si="47"/>
        <v>6028</v>
      </c>
      <c r="M408">
        <f t="shared" si="48"/>
        <v>6367.5</v>
      </c>
    </row>
    <row r="409" spans="1:13" x14ac:dyDescent="0.3">
      <c r="A409" s="2">
        <f>[1]HHS_Unaccompanied_Alien_Childre!G409</f>
        <v>45550</v>
      </c>
      <c r="B409">
        <f>[2]HHS_Unaccompanied_Alien_Childre!B409</f>
        <v>98</v>
      </c>
      <c r="C409">
        <f>[3]HHS_Unaccompanied_Alien_Childre!C409</f>
        <v>220</v>
      </c>
      <c r="D409">
        <f>[2]HHS_Unaccompanied_Alien_Childre!D409</f>
        <v>167</v>
      </c>
      <c r="E409">
        <f>[2]HHS_Unaccompanied_Alien_Childre!E409</f>
        <v>6234</v>
      </c>
      <c r="F409">
        <f>[3]HHS_Unaccompanied_Alien_Childre!F409</f>
        <v>210</v>
      </c>
      <c r="G409">
        <f t="shared" si="43"/>
        <v>-92</v>
      </c>
      <c r="H409" t="str">
        <f t="shared" si="44"/>
        <v>Decrease</v>
      </c>
      <c r="I409">
        <f t="shared" si="42"/>
        <v>-69</v>
      </c>
      <c r="J409">
        <f t="shared" si="45"/>
        <v>6234</v>
      </c>
      <c r="K409">
        <f t="shared" si="46"/>
        <v>6448</v>
      </c>
      <c r="L409">
        <f t="shared" si="47"/>
        <v>6054</v>
      </c>
      <c r="M409">
        <f t="shared" si="48"/>
        <v>6387</v>
      </c>
    </row>
    <row r="410" spans="1:13" x14ac:dyDescent="0.3">
      <c r="A410" s="2">
        <f>[1]HHS_Unaccompanied_Alien_Childre!G410</f>
        <v>45551</v>
      </c>
      <c r="B410">
        <f>[2]HHS_Unaccompanied_Alien_Childre!B410</f>
        <v>113</v>
      </c>
      <c r="C410">
        <f>[3]HHS_Unaccompanied_Alien_Childre!C410</f>
        <v>209</v>
      </c>
      <c r="D410">
        <f>[2]HHS_Unaccompanied_Alien_Childre!D410</f>
        <v>160</v>
      </c>
      <c r="E410">
        <f>[2]HHS_Unaccompanied_Alien_Childre!E410</f>
        <v>6229</v>
      </c>
      <c r="F410">
        <f>[3]HHS_Unaccompanied_Alien_Childre!F410</f>
        <v>164</v>
      </c>
      <c r="G410">
        <f t="shared" si="43"/>
        <v>-5</v>
      </c>
      <c r="H410" t="str">
        <f t="shared" si="44"/>
        <v>Decrease</v>
      </c>
      <c r="I410">
        <f t="shared" si="42"/>
        <v>-47</v>
      </c>
      <c r="J410">
        <f t="shared" si="45"/>
        <v>6229</v>
      </c>
      <c r="K410">
        <f t="shared" si="46"/>
        <v>6312</v>
      </c>
      <c r="L410">
        <f t="shared" si="47"/>
        <v>6152</v>
      </c>
      <c r="M410">
        <f t="shared" si="48"/>
        <v>6273</v>
      </c>
    </row>
    <row r="411" spans="1:13" x14ac:dyDescent="0.3">
      <c r="A411" s="2">
        <f>[1]HHS_Unaccompanied_Alien_Childre!G411</f>
        <v>45552</v>
      </c>
      <c r="B411">
        <f>[2]HHS_Unaccompanied_Alien_Childre!B411</f>
        <v>159</v>
      </c>
      <c r="C411">
        <f>[3]HHS_Unaccompanied_Alien_Childre!C411</f>
        <v>304</v>
      </c>
      <c r="D411">
        <f>[2]HHS_Unaccompanied_Alien_Childre!D411</f>
        <v>139</v>
      </c>
      <c r="E411">
        <f>[2]HHS_Unaccompanied_Alien_Childre!E411</f>
        <v>6227</v>
      </c>
      <c r="F411">
        <f>[3]HHS_Unaccompanied_Alien_Childre!F411</f>
        <v>160</v>
      </c>
      <c r="G411">
        <f t="shared" si="43"/>
        <v>-2</v>
      </c>
      <c r="H411" t="str">
        <f t="shared" si="44"/>
        <v>Decrease</v>
      </c>
      <c r="I411">
        <f t="shared" si="42"/>
        <v>20</v>
      </c>
      <c r="J411">
        <f t="shared" si="45"/>
        <v>6227</v>
      </c>
      <c r="K411">
        <f t="shared" si="46"/>
        <v>6353</v>
      </c>
      <c r="L411">
        <f t="shared" si="47"/>
        <v>6227</v>
      </c>
      <c r="M411">
        <f t="shared" si="48"/>
        <v>6291</v>
      </c>
    </row>
    <row r="412" spans="1:13" x14ac:dyDescent="0.3">
      <c r="A412" s="2">
        <f>[1]HHS_Unaccompanied_Alien_Childre!G412</f>
        <v>45553</v>
      </c>
      <c r="B412">
        <f>[2]HHS_Unaccompanied_Alien_Childre!B412</f>
        <v>116</v>
      </c>
      <c r="C412">
        <f>[3]HHS_Unaccompanied_Alien_Childre!C412</f>
        <v>213</v>
      </c>
      <c r="D412">
        <f>[2]HHS_Unaccompanied_Alien_Childre!D412</f>
        <v>217</v>
      </c>
      <c r="E412">
        <f>[2]HHS_Unaccompanied_Alien_Childre!E412</f>
        <v>6245</v>
      </c>
      <c r="F412">
        <f>[3]HHS_Unaccompanied_Alien_Childre!F412</f>
        <v>149</v>
      </c>
      <c r="G412">
        <f t="shared" si="43"/>
        <v>18</v>
      </c>
      <c r="H412" t="str">
        <f t="shared" si="44"/>
        <v>Increase</v>
      </c>
      <c r="I412">
        <f t="shared" si="42"/>
        <v>-101</v>
      </c>
      <c r="J412">
        <f t="shared" si="45"/>
        <v>6245</v>
      </c>
      <c r="K412">
        <f t="shared" si="46"/>
        <v>6396</v>
      </c>
      <c r="L412">
        <f t="shared" si="47"/>
        <v>6250</v>
      </c>
      <c r="M412">
        <f t="shared" si="48"/>
        <v>6311.5</v>
      </c>
    </row>
    <row r="413" spans="1:13" x14ac:dyDescent="0.3">
      <c r="A413" s="2">
        <f>[1]HHS_Unaccompanied_Alien_Childre!G413</f>
        <v>45554</v>
      </c>
      <c r="B413">
        <f>[2]HHS_Unaccompanied_Alien_Childre!B413</f>
        <v>93</v>
      </c>
      <c r="C413">
        <f>[3]HHS_Unaccompanied_Alien_Childre!C413</f>
        <v>196</v>
      </c>
      <c r="D413">
        <f>[2]HHS_Unaccompanied_Alien_Childre!D413</f>
        <v>169</v>
      </c>
      <c r="E413">
        <f>[2]HHS_Unaccompanied_Alien_Childre!E413</f>
        <v>6270</v>
      </c>
      <c r="F413">
        <f>[3]HHS_Unaccompanied_Alien_Childre!F413</f>
        <v>188</v>
      </c>
      <c r="G413">
        <f t="shared" si="43"/>
        <v>25</v>
      </c>
      <c r="H413" t="str">
        <f t="shared" si="44"/>
        <v>Increase</v>
      </c>
      <c r="I413">
        <f t="shared" si="42"/>
        <v>-76</v>
      </c>
      <c r="J413">
        <f t="shared" si="45"/>
        <v>6270</v>
      </c>
      <c r="K413">
        <f t="shared" si="46"/>
        <v>6410</v>
      </c>
      <c r="L413">
        <f t="shared" si="47"/>
        <v>6192</v>
      </c>
      <c r="M413">
        <f t="shared" si="48"/>
        <v>6327.5</v>
      </c>
    </row>
    <row r="414" spans="1:13" x14ac:dyDescent="0.3">
      <c r="A414" s="2">
        <f>[1]HHS_Unaccompanied_Alien_Childre!G414</f>
        <v>45557</v>
      </c>
      <c r="B414">
        <f>[2]HHS_Unaccompanied_Alien_Childre!B414</f>
        <v>124</v>
      </c>
      <c r="C414">
        <f>[3]HHS_Unaccompanied_Alien_Childre!C414</f>
        <v>234</v>
      </c>
      <c r="D414">
        <f>[2]HHS_Unaccompanied_Alien_Childre!D414</f>
        <v>161</v>
      </c>
      <c r="E414">
        <f>[2]HHS_Unaccompanied_Alien_Childre!E414</f>
        <v>5989</v>
      </c>
      <c r="F414">
        <f>[3]HHS_Unaccompanied_Alien_Childre!F414</f>
        <v>197</v>
      </c>
      <c r="G414">
        <f t="shared" si="43"/>
        <v>-281</v>
      </c>
      <c r="H414" t="str">
        <f t="shared" si="44"/>
        <v>Decrease</v>
      </c>
      <c r="I414">
        <f t="shared" si="42"/>
        <v>-37</v>
      </c>
      <c r="J414">
        <f t="shared" si="45"/>
        <v>5989</v>
      </c>
      <c r="K414">
        <f t="shared" si="46"/>
        <v>6360</v>
      </c>
      <c r="L414">
        <f t="shared" si="47"/>
        <v>6272</v>
      </c>
      <c r="M414">
        <f t="shared" si="48"/>
        <v>6315</v>
      </c>
    </row>
    <row r="415" spans="1:13" x14ac:dyDescent="0.3">
      <c r="A415" s="2">
        <f>[1]HHS_Unaccompanied_Alien_Childre!G415</f>
        <v>45558</v>
      </c>
      <c r="B415">
        <f>[2]HHS_Unaccompanied_Alien_Childre!B415</f>
        <v>92</v>
      </c>
      <c r="C415">
        <f>[3]HHS_Unaccompanied_Alien_Childre!C415</f>
        <v>203</v>
      </c>
      <c r="D415">
        <f>[2]HHS_Unaccompanied_Alien_Childre!D415</f>
        <v>173</v>
      </c>
      <c r="E415">
        <f>[2]HHS_Unaccompanied_Alien_Childre!E415</f>
        <v>6002</v>
      </c>
      <c r="F415">
        <f>[3]HHS_Unaccompanied_Alien_Childre!F415</f>
        <v>165</v>
      </c>
      <c r="G415">
        <f t="shared" si="43"/>
        <v>13</v>
      </c>
      <c r="H415" t="str">
        <f t="shared" si="44"/>
        <v>Increase</v>
      </c>
      <c r="I415">
        <f t="shared" si="42"/>
        <v>-81</v>
      </c>
      <c r="J415">
        <f t="shared" si="45"/>
        <v>6002</v>
      </c>
      <c r="K415">
        <f t="shared" si="46"/>
        <v>6326</v>
      </c>
      <c r="L415">
        <f t="shared" si="47"/>
        <v>6375</v>
      </c>
      <c r="M415">
        <f t="shared" si="48"/>
        <v>6157.5</v>
      </c>
    </row>
    <row r="416" spans="1:13" x14ac:dyDescent="0.3">
      <c r="A416" s="2">
        <f>[1]HHS_Unaccompanied_Alien_Childre!G416</f>
        <v>45559</v>
      </c>
      <c r="B416">
        <f>[2]HHS_Unaccompanied_Alien_Childre!B416</f>
        <v>186</v>
      </c>
      <c r="C416">
        <f>[3]HHS_Unaccompanied_Alien_Childre!C416</f>
        <v>259</v>
      </c>
      <c r="D416">
        <f>[2]HHS_Unaccompanied_Alien_Childre!D416</f>
        <v>172</v>
      </c>
      <c r="E416">
        <f>[2]HHS_Unaccompanied_Alien_Childre!E416</f>
        <v>6023</v>
      </c>
      <c r="F416">
        <f>[3]HHS_Unaccompanied_Alien_Childre!F416</f>
        <v>143</v>
      </c>
      <c r="G416">
        <f t="shared" si="43"/>
        <v>21</v>
      </c>
      <c r="H416" t="str">
        <f t="shared" si="44"/>
        <v>Increase</v>
      </c>
      <c r="I416">
        <f t="shared" si="42"/>
        <v>14</v>
      </c>
      <c r="J416">
        <f t="shared" si="45"/>
        <v>6023</v>
      </c>
      <c r="K416">
        <f t="shared" si="46"/>
        <v>6234</v>
      </c>
      <c r="L416">
        <f t="shared" si="47"/>
        <v>6448</v>
      </c>
      <c r="M416">
        <f t="shared" si="48"/>
        <v>6118</v>
      </c>
    </row>
    <row r="417" spans="1:13" x14ac:dyDescent="0.3">
      <c r="A417" s="2">
        <f>[1]HHS_Unaccompanied_Alien_Childre!G417</f>
        <v>45560</v>
      </c>
      <c r="B417">
        <f>[2]HHS_Unaccompanied_Alien_Childre!B417</f>
        <v>154</v>
      </c>
      <c r="C417">
        <f>[3]HHS_Unaccompanied_Alien_Childre!C417</f>
        <v>225</v>
      </c>
      <c r="D417">
        <f>[2]HHS_Unaccompanied_Alien_Childre!D417</f>
        <v>220</v>
      </c>
      <c r="E417">
        <f>[2]HHS_Unaccompanied_Alien_Childre!E417</f>
        <v>6050</v>
      </c>
      <c r="F417">
        <f>[3]HHS_Unaccompanied_Alien_Childre!F417</f>
        <v>169</v>
      </c>
      <c r="G417">
        <f t="shared" si="43"/>
        <v>27</v>
      </c>
      <c r="H417" t="str">
        <f t="shared" si="44"/>
        <v>Increase</v>
      </c>
      <c r="I417">
        <f t="shared" si="42"/>
        <v>-66</v>
      </c>
      <c r="J417">
        <f t="shared" si="45"/>
        <v>6050</v>
      </c>
      <c r="K417">
        <f t="shared" si="46"/>
        <v>6229</v>
      </c>
      <c r="L417">
        <f t="shared" si="47"/>
        <v>6312</v>
      </c>
      <c r="M417">
        <f t="shared" si="48"/>
        <v>6126</v>
      </c>
    </row>
    <row r="418" spans="1:13" x14ac:dyDescent="0.3">
      <c r="A418" s="2">
        <f>[1]HHS_Unaccompanied_Alien_Childre!G418</f>
        <v>45561</v>
      </c>
      <c r="B418">
        <f>[2]HHS_Unaccompanied_Alien_Childre!B418</f>
        <v>91</v>
      </c>
      <c r="C418">
        <f>[3]HHS_Unaccompanied_Alien_Childre!C418</f>
        <v>199</v>
      </c>
      <c r="D418">
        <f>[2]HHS_Unaccompanied_Alien_Childre!D418</f>
        <v>172</v>
      </c>
      <c r="E418">
        <f>[2]HHS_Unaccompanied_Alien_Childre!E418</f>
        <v>6090</v>
      </c>
      <c r="F418">
        <f>[3]HHS_Unaccompanied_Alien_Childre!F418</f>
        <v>185</v>
      </c>
      <c r="G418">
        <f t="shared" si="43"/>
        <v>40</v>
      </c>
      <c r="H418" t="str">
        <f t="shared" si="44"/>
        <v>Increase</v>
      </c>
      <c r="I418">
        <f t="shared" si="42"/>
        <v>-81</v>
      </c>
      <c r="J418">
        <f t="shared" si="45"/>
        <v>6090</v>
      </c>
      <c r="K418">
        <f t="shared" si="46"/>
        <v>6227</v>
      </c>
      <c r="L418">
        <f t="shared" si="47"/>
        <v>6353</v>
      </c>
      <c r="M418">
        <f t="shared" si="48"/>
        <v>6138.5</v>
      </c>
    </row>
    <row r="419" spans="1:13" x14ac:dyDescent="0.3">
      <c r="A419" s="2">
        <f>[1]HHS_Unaccompanied_Alien_Childre!G419</f>
        <v>45564</v>
      </c>
      <c r="B419">
        <f>[2]HHS_Unaccompanied_Alien_Childre!B419</f>
        <v>81</v>
      </c>
      <c r="C419">
        <f>[3]HHS_Unaccompanied_Alien_Childre!C419</f>
        <v>213</v>
      </c>
      <c r="D419">
        <f>[2]HHS_Unaccompanied_Alien_Childre!D419</f>
        <v>153</v>
      </c>
      <c r="E419">
        <f>[2]HHS_Unaccompanied_Alien_Childre!E419</f>
        <v>5925</v>
      </c>
      <c r="F419">
        <f>[3]HHS_Unaccompanied_Alien_Childre!F419</f>
        <v>177</v>
      </c>
      <c r="G419">
        <f t="shared" si="43"/>
        <v>-165</v>
      </c>
      <c r="H419" t="str">
        <f t="shared" si="44"/>
        <v>Decrease</v>
      </c>
      <c r="I419">
        <f t="shared" si="42"/>
        <v>-72</v>
      </c>
      <c r="J419">
        <f t="shared" si="45"/>
        <v>5925</v>
      </c>
      <c r="K419">
        <f t="shared" si="46"/>
        <v>6245</v>
      </c>
      <c r="L419">
        <f t="shared" si="47"/>
        <v>6396</v>
      </c>
      <c r="M419">
        <f t="shared" si="48"/>
        <v>6167.5</v>
      </c>
    </row>
    <row r="420" spans="1:13" x14ac:dyDescent="0.3">
      <c r="A420" s="2">
        <f>[1]HHS_Unaccompanied_Alien_Childre!G420</f>
        <v>45565</v>
      </c>
      <c r="B420">
        <f>[2]HHS_Unaccompanied_Alien_Childre!B420</f>
        <v>209</v>
      </c>
      <c r="C420">
        <f>[3]HHS_Unaccompanied_Alien_Childre!C420</f>
        <v>285</v>
      </c>
      <c r="D420">
        <f>[2]HHS_Unaccompanied_Alien_Childre!D420</f>
        <v>184</v>
      </c>
      <c r="E420">
        <f>[2]HHS_Unaccompanied_Alien_Childre!E420</f>
        <v>5967</v>
      </c>
      <c r="F420">
        <f>[3]HHS_Unaccompanied_Alien_Childre!F420</f>
        <v>138</v>
      </c>
      <c r="G420">
        <f t="shared" si="43"/>
        <v>42</v>
      </c>
      <c r="H420" t="str">
        <f t="shared" si="44"/>
        <v>Increase</v>
      </c>
      <c r="I420">
        <f t="shared" si="42"/>
        <v>25</v>
      </c>
      <c r="J420">
        <f t="shared" si="45"/>
        <v>5967</v>
      </c>
      <c r="K420">
        <f t="shared" si="46"/>
        <v>6270</v>
      </c>
      <c r="L420">
        <f t="shared" si="47"/>
        <v>6410</v>
      </c>
      <c r="M420">
        <f t="shared" si="48"/>
        <v>6097.5</v>
      </c>
    </row>
    <row r="421" spans="1:13" x14ac:dyDescent="0.3">
      <c r="A421" s="2">
        <f>[1]HHS_Unaccompanied_Alien_Childre!G421</f>
        <v>45566</v>
      </c>
      <c r="B421">
        <f>[2]HHS_Unaccompanied_Alien_Childre!B421</f>
        <v>184</v>
      </c>
      <c r="C421">
        <f>[3]HHS_Unaccompanied_Alien_Childre!C421</f>
        <v>314</v>
      </c>
      <c r="D421">
        <f>[2]HHS_Unaccompanied_Alien_Childre!D421</f>
        <v>217</v>
      </c>
      <c r="E421">
        <f>[2]HHS_Unaccompanied_Alien_Childre!E421</f>
        <v>6040</v>
      </c>
      <c r="F421">
        <f>[3]HHS_Unaccompanied_Alien_Childre!F421</f>
        <v>137</v>
      </c>
      <c r="G421">
        <f t="shared" si="43"/>
        <v>73</v>
      </c>
      <c r="H421" t="str">
        <f t="shared" si="44"/>
        <v>Increase</v>
      </c>
      <c r="I421">
        <f t="shared" si="42"/>
        <v>-33</v>
      </c>
      <c r="J421">
        <f t="shared" si="45"/>
        <v>6040</v>
      </c>
      <c r="K421">
        <f t="shared" si="46"/>
        <v>5989</v>
      </c>
      <c r="L421">
        <f t="shared" si="47"/>
        <v>6360</v>
      </c>
      <c r="M421">
        <f t="shared" si="48"/>
        <v>5978</v>
      </c>
    </row>
    <row r="422" spans="1:13" x14ac:dyDescent="0.3">
      <c r="A422" s="2">
        <f>[1]HHS_Unaccompanied_Alien_Childre!G422</f>
        <v>45567</v>
      </c>
      <c r="B422">
        <f>[2]HHS_Unaccompanied_Alien_Childre!B422</f>
        <v>107</v>
      </c>
      <c r="C422">
        <f>[3]HHS_Unaccompanied_Alien_Childre!C422</f>
        <v>215</v>
      </c>
      <c r="D422">
        <f>[2]HHS_Unaccompanied_Alien_Childre!D422</f>
        <v>230</v>
      </c>
      <c r="E422">
        <f>[2]HHS_Unaccompanied_Alien_Childre!E422</f>
        <v>6091</v>
      </c>
      <c r="F422">
        <f>[3]HHS_Unaccompanied_Alien_Childre!F422</f>
        <v>173</v>
      </c>
      <c r="G422">
        <f t="shared" si="43"/>
        <v>51</v>
      </c>
      <c r="H422" t="str">
        <f t="shared" si="44"/>
        <v>Increase</v>
      </c>
      <c r="I422">
        <f t="shared" si="42"/>
        <v>-123</v>
      </c>
      <c r="J422">
        <f t="shared" si="45"/>
        <v>6091</v>
      </c>
      <c r="K422">
        <f t="shared" si="46"/>
        <v>6002</v>
      </c>
      <c r="L422">
        <f t="shared" si="47"/>
        <v>6326</v>
      </c>
      <c r="M422">
        <f t="shared" si="48"/>
        <v>6021</v>
      </c>
    </row>
    <row r="423" spans="1:13" x14ac:dyDescent="0.3">
      <c r="A423" s="2">
        <f>[1]HHS_Unaccompanied_Alien_Childre!G423</f>
        <v>45568</v>
      </c>
      <c r="B423">
        <f>[2]HHS_Unaccompanied_Alien_Childre!B423</f>
        <v>101</v>
      </c>
      <c r="C423">
        <f>[3]HHS_Unaccompanied_Alien_Childre!C423</f>
        <v>162</v>
      </c>
      <c r="D423">
        <f>[2]HHS_Unaccompanied_Alien_Childre!D423</f>
        <v>178</v>
      </c>
      <c r="E423">
        <f>[2]HHS_Unaccompanied_Alien_Childre!E423</f>
        <v>6118</v>
      </c>
      <c r="F423">
        <f>[3]HHS_Unaccompanied_Alien_Childre!F423</f>
        <v>193</v>
      </c>
      <c r="G423">
        <f t="shared" si="43"/>
        <v>27</v>
      </c>
      <c r="H423" t="str">
        <f t="shared" si="44"/>
        <v>Increase</v>
      </c>
      <c r="I423">
        <f t="shared" si="42"/>
        <v>-77</v>
      </c>
      <c r="J423">
        <f t="shared" si="45"/>
        <v>6118</v>
      </c>
      <c r="K423">
        <f t="shared" si="46"/>
        <v>6023</v>
      </c>
      <c r="L423">
        <f t="shared" si="47"/>
        <v>6234</v>
      </c>
      <c r="M423">
        <f t="shared" si="48"/>
        <v>6057</v>
      </c>
    </row>
    <row r="424" spans="1:13" x14ac:dyDescent="0.3">
      <c r="A424" s="2">
        <f>[1]HHS_Unaccompanied_Alien_Childre!G424</f>
        <v>45572</v>
      </c>
      <c r="B424">
        <f>[2]HHS_Unaccompanied_Alien_Childre!B424</f>
        <v>99</v>
      </c>
      <c r="C424">
        <f>[3]HHS_Unaccompanied_Alien_Childre!C424</f>
        <v>190</v>
      </c>
      <c r="D424">
        <f>[2]HHS_Unaccompanied_Alien_Childre!D424</f>
        <v>176</v>
      </c>
      <c r="E424">
        <f>[2]HHS_Unaccompanied_Alien_Childre!E424</f>
        <v>5968</v>
      </c>
      <c r="F424">
        <f>[3]HHS_Unaccompanied_Alien_Childre!F424</f>
        <v>153</v>
      </c>
      <c r="G424">
        <f t="shared" si="43"/>
        <v>-150</v>
      </c>
      <c r="H424" t="str">
        <f t="shared" si="44"/>
        <v>Decrease</v>
      </c>
      <c r="I424">
        <f t="shared" si="42"/>
        <v>-77</v>
      </c>
      <c r="J424">
        <f t="shared" si="45"/>
        <v>5968</v>
      </c>
      <c r="K424">
        <f t="shared" si="46"/>
        <v>6050</v>
      </c>
      <c r="L424">
        <f t="shared" si="47"/>
        <v>6229</v>
      </c>
      <c r="M424">
        <f t="shared" si="48"/>
        <v>6084</v>
      </c>
    </row>
    <row r="425" spans="1:13" x14ac:dyDescent="0.3">
      <c r="A425" s="2">
        <f>[1]HHS_Unaccompanied_Alien_Childre!G425</f>
        <v>45573</v>
      </c>
      <c r="B425">
        <f>[2]HHS_Unaccompanied_Alien_Childre!B425</f>
        <v>167</v>
      </c>
      <c r="C425">
        <f>[3]HHS_Unaccompanied_Alien_Childre!C425</f>
        <v>239</v>
      </c>
      <c r="D425">
        <f>[2]HHS_Unaccompanied_Alien_Childre!D425</f>
        <v>166</v>
      </c>
      <c r="E425">
        <f>[2]HHS_Unaccompanied_Alien_Childre!E425</f>
        <v>6013</v>
      </c>
      <c r="F425">
        <f>[3]HHS_Unaccompanied_Alien_Childre!F425</f>
        <v>123</v>
      </c>
      <c r="G425">
        <f t="shared" si="43"/>
        <v>45</v>
      </c>
      <c r="H425" t="str">
        <f t="shared" si="44"/>
        <v>Increase</v>
      </c>
      <c r="I425">
        <f t="shared" si="42"/>
        <v>1</v>
      </c>
      <c r="J425">
        <f t="shared" si="45"/>
        <v>6013</v>
      </c>
      <c r="K425">
        <f t="shared" si="46"/>
        <v>6090</v>
      </c>
      <c r="L425">
        <f t="shared" si="47"/>
        <v>6227</v>
      </c>
      <c r="M425">
        <f t="shared" si="48"/>
        <v>6029</v>
      </c>
    </row>
    <row r="426" spans="1:13" x14ac:dyDescent="0.3">
      <c r="A426" s="2">
        <f>[1]HHS_Unaccompanied_Alien_Childre!G426</f>
        <v>45574</v>
      </c>
      <c r="B426">
        <f>[2]HHS_Unaccompanied_Alien_Childre!B426</f>
        <v>115</v>
      </c>
      <c r="C426">
        <f>[3]HHS_Unaccompanied_Alien_Childre!C426</f>
        <v>216</v>
      </c>
      <c r="D426">
        <f>[2]HHS_Unaccompanied_Alien_Childre!D426</f>
        <v>169</v>
      </c>
      <c r="E426">
        <f>[2]HHS_Unaccompanied_Alien_Childre!E426</f>
        <v>6047</v>
      </c>
      <c r="F426">
        <f>[3]HHS_Unaccompanied_Alien_Childre!F426</f>
        <v>137</v>
      </c>
      <c r="G426">
        <f t="shared" si="43"/>
        <v>34</v>
      </c>
      <c r="H426" t="str">
        <f t="shared" si="44"/>
        <v>Increase</v>
      </c>
      <c r="I426">
        <f t="shared" si="42"/>
        <v>-54</v>
      </c>
      <c r="J426">
        <f t="shared" si="45"/>
        <v>6047</v>
      </c>
      <c r="K426">
        <f t="shared" si="46"/>
        <v>5925</v>
      </c>
      <c r="L426">
        <f t="shared" si="47"/>
        <v>6245</v>
      </c>
      <c r="M426">
        <f t="shared" si="48"/>
        <v>5969</v>
      </c>
    </row>
    <row r="427" spans="1:13" x14ac:dyDescent="0.3">
      <c r="A427" s="2">
        <f>[1]HHS_Unaccompanied_Alien_Childre!G427</f>
        <v>45575</v>
      </c>
      <c r="B427">
        <f>[2]HHS_Unaccompanied_Alien_Childre!B427</f>
        <v>84</v>
      </c>
      <c r="C427">
        <f>[3]HHS_Unaccompanied_Alien_Childre!C427</f>
        <v>158</v>
      </c>
      <c r="D427">
        <f>[2]HHS_Unaccompanied_Alien_Childre!D427</f>
        <v>193</v>
      </c>
      <c r="E427">
        <f>[2]HHS_Unaccompanied_Alien_Childre!E427</f>
        <v>6075</v>
      </c>
      <c r="F427">
        <f>[3]HHS_Unaccompanied_Alien_Childre!F427</f>
        <v>159</v>
      </c>
      <c r="G427">
        <f t="shared" si="43"/>
        <v>28</v>
      </c>
      <c r="H427" t="str">
        <f t="shared" si="44"/>
        <v>Increase</v>
      </c>
      <c r="I427">
        <f t="shared" si="42"/>
        <v>-109</v>
      </c>
      <c r="J427">
        <f t="shared" si="45"/>
        <v>6075</v>
      </c>
      <c r="K427">
        <f t="shared" si="46"/>
        <v>5967</v>
      </c>
      <c r="L427">
        <f t="shared" si="47"/>
        <v>6270</v>
      </c>
      <c r="M427">
        <f t="shared" si="48"/>
        <v>6007</v>
      </c>
    </row>
    <row r="428" spans="1:13" x14ac:dyDescent="0.3">
      <c r="A428" s="2">
        <f>[1]HHS_Unaccompanied_Alien_Childre!G428</f>
        <v>45578</v>
      </c>
      <c r="B428">
        <f>[2]HHS_Unaccompanied_Alien_Childre!B428</f>
        <v>130</v>
      </c>
      <c r="C428">
        <f>[3]HHS_Unaccompanied_Alien_Childre!C428</f>
        <v>227</v>
      </c>
      <c r="D428">
        <f>[2]HHS_Unaccompanied_Alien_Childre!D428</f>
        <v>192</v>
      </c>
      <c r="E428">
        <f>[2]HHS_Unaccompanied_Alien_Childre!E428</f>
        <v>5889</v>
      </c>
      <c r="F428">
        <f>[3]HHS_Unaccompanied_Alien_Childre!F428</f>
        <v>210</v>
      </c>
      <c r="G428">
        <f t="shared" si="43"/>
        <v>-186</v>
      </c>
      <c r="H428" t="str">
        <f t="shared" si="44"/>
        <v>Decrease</v>
      </c>
      <c r="I428">
        <f t="shared" si="42"/>
        <v>-62</v>
      </c>
      <c r="J428">
        <f t="shared" si="45"/>
        <v>5889</v>
      </c>
      <c r="K428">
        <f t="shared" si="46"/>
        <v>6040</v>
      </c>
      <c r="L428">
        <f t="shared" si="47"/>
        <v>5989</v>
      </c>
      <c r="M428">
        <f t="shared" si="48"/>
        <v>6057.5</v>
      </c>
    </row>
    <row r="429" spans="1:13" x14ac:dyDescent="0.3">
      <c r="A429" s="2">
        <f>[1]HHS_Unaccompanied_Alien_Childre!G429</f>
        <v>45579</v>
      </c>
      <c r="B429">
        <f>[2]HHS_Unaccompanied_Alien_Childre!B429</f>
        <v>88</v>
      </c>
      <c r="C429">
        <f>[3]HHS_Unaccompanied_Alien_Childre!C429</f>
        <v>214</v>
      </c>
      <c r="D429">
        <f>[2]HHS_Unaccompanied_Alien_Childre!D429</f>
        <v>160</v>
      </c>
      <c r="E429">
        <f>[2]HHS_Unaccompanied_Alien_Childre!E429</f>
        <v>5935</v>
      </c>
      <c r="F429">
        <f>[3]HHS_Unaccompanied_Alien_Childre!F429</f>
        <v>106</v>
      </c>
      <c r="G429">
        <f t="shared" si="43"/>
        <v>46</v>
      </c>
      <c r="H429" t="str">
        <f t="shared" si="44"/>
        <v>Increase</v>
      </c>
      <c r="I429">
        <f t="shared" si="42"/>
        <v>-72</v>
      </c>
      <c r="J429">
        <f t="shared" si="45"/>
        <v>5935</v>
      </c>
      <c r="K429">
        <f t="shared" si="46"/>
        <v>6091</v>
      </c>
      <c r="L429">
        <f t="shared" si="47"/>
        <v>6002</v>
      </c>
      <c r="M429">
        <f t="shared" si="48"/>
        <v>5990</v>
      </c>
    </row>
    <row r="430" spans="1:13" x14ac:dyDescent="0.3">
      <c r="A430" s="2">
        <f>[1]HHS_Unaccompanied_Alien_Childre!G430</f>
        <v>45580</v>
      </c>
      <c r="B430">
        <f>[2]HHS_Unaccompanied_Alien_Childre!B430</f>
        <v>113</v>
      </c>
      <c r="C430">
        <f>[3]HHS_Unaccompanied_Alien_Childre!C430</f>
        <v>208</v>
      </c>
      <c r="D430">
        <f>[2]HHS_Unaccompanied_Alien_Childre!D430</f>
        <v>159</v>
      </c>
      <c r="E430">
        <f>[2]HHS_Unaccompanied_Alien_Childre!E430</f>
        <v>6013</v>
      </c>
      <c r="F430">
        <f>[3]HHS_Unaccompanied_Alien_Childre!F430</f>
        <v>107</v>
      </c>
      <c r="G430">
        <f t="shared" si="43"/>
        <v>78</v>
      </c>
      <c r="H430" t="str">
        <f t="shared" si="44"/>
        <v>Increase</v>
      </c>
      <c r="I430">
        <f t="shared" si="42"/>
        <v>-46</v>
      </c>
      <c r="J430">
        <f t="shared" si="45"/>
        <v>6013</v>
      </c>
      <c r="K430">
        <f t="shared" si="46"/>
        <v>6118</v>
      </c>
      <c r="L430">
        <f t="shared" si="47"/>
        <v>6023</v>
      </c>
      <c r="M430">
        <f t="shared" si="48"/>
        <v>6026.5</v>
      </c>
    </row>
    <row r="431" spans="1:13" x14ac:dyDescent="0.3">
      <c r="A431" s="2">
        <f>[1]HHS_Unaccompanied_Alien_Childre!G431</f>
        <v>45581</v>
      </c>
      <c r="B431">
        <f>[2]HHS_Unaccompanied_Alien_Childre!B431</f>
        <v>174</v>
      </c>
      <c r="C431">
        <f>[3]HHS_Unaccompanied_Alien_Childre!C431</f>
        <v>285</v>
      </c>
      <c r="D431">
        <f>[2]HHS_Unaccompanied_Alien_Childre!D431</f>
        <v>150</v>
      </c>
      <c r="E431">
        <f>[2]HHS_Unaccompanied_Alien_Childre!E431</f>
        <v>6036</v>
      </c>
      <c r="F431">
        <f>[3]HHS_Unaccompanied_Alien_Childre!F431</f>
        <v>129</v>
      </c>
      <c r="G431">
        <f t="shared" si="43"/>
        <v>23</v>
      </c>
      <c r="H431" t="str">
        <f t="shared" si="44"/>
        <v>Increase</v>
      </c>
      <c r="I431">
        <f t="shared" si="42"/>
        <v>24</v>
      </c>
      <c r="J431">
        <f t="shared" si="45"/>
        <v>6036</v>
      </c>
      <c r="K431">
        <f t="shared" si="46"/>
        <v>5968</v>
      </c>
      <c r="L431">
        <f t="shared" si="47"/>
        <v>6050</v>
      </c>
      <c r="M431">
        <f t="shared" si="48"/>
        <v>5990.5</v>
      </c>
    </row>
    <row r="432" spans="1:13" x14ac:dyDescent="0.3">
      <c r="A432" s="2">
        <f>[1]HHS_Unaccompanied_Alien_Childre!G432</f>
        <v>45582</v>
      </c>
      <c r="B432">
        <f>[2]HHS_Unaccompanied_Alien_Childre!B432</f>
        <v>104</v>
      </c>
      <c r="C432">
        <f>[3]HHS_Unaccompanied_Alien_Childre!C432</f>
        <v>230</v>
      </c>
      <c r="D432">
        <f>[2]HHS_Unaccompanied_Alien_Childre!D432</f>
        <v>206</v>
      </c>
      <c r="E432">
        <f>[2]HHS_Unaccompanied_Alien_Childre!E432</f>
        <v>6076</v>
      </c>
      <c r="F432">
        <f>[3]HHS_Unaccompanied_Alien_Childre!F432</f>
        <v>160</v>
      </c>
      <c r="G432">
        <f t="shared" si="43"/>
        <v>40</v>
      </c>
      <c r="H432" t="str">
        <f t="shared" si="44"/>
        <v>Increase</v>
      </c>
      <c r="I432">
        <f t="shared" si="42"/>
        <v>-102</v>
      </c>
      <c r="J432">
        <f t="shared" si="45"/>
        <v>6076</v>
      </c>
      <c r="K432">
        <f t="shared" si="46"/>
        <v>6013</v>
      </c>
      <c r="L432">
        <f t="shared" si="47"/>
        <v>6090</v>
      </c>
      <c r="M432">
        <f t="shared" si="48"/>
        <v>6024.5</v>
      </c>
    </row>
    <row r="433" spans="1:13" x14ac:dyDescent="0.3">
      <c r="A433" s="2">
        <f>[1]HHS_Unaccompanied_Alien_Childre!G433</f>
        <v>45585</v>
      </c>
      <c r="B433">
        <f>[2]HHS_Unaccompanied_Alien_Childre!B433</f>
        <v>147</v>
      </c>
      <c r="C433">
        <f>[3]HHS_Unaccompanied_Alien_Childre!C433</f>
        <v>276</v>
      </c>
      <c r="D433">
        <f>[2]HHS_Unaccompanied_Alien_Childre!D433</f>
        <v>214</v>
      </c>
      <c r="E433">
        <f>[2]HHS_Unaccompanied_Alien_Childre!E433</f>
        <v>5918</v>
      </c>
      <c r="F433">
        <f>[3]HHS_Unaccompanied_Alien_Childre!F433</f>
        <v>195</v>
      </c>
      <c r="G433">
        <f t="shared" si="43"/>
        <v>-158</v>
      </c>
      <c r="H433" t="str">
        <f t="shared" si="44"/>
        <v>Decrease</v>
      </c>
      <c r="I433">
        <f t="shared" si="42"/>
        <v>-67</v>
      </c>
      <c r="J433">
        <f t="shared" si="45"/>
        <v>5918</v>
      </c>
      <c r="K433">
        <f t="shared" si="46"/>
        <v>6047</v>
      </c>
      <c r="L433">
        <f t="shared" si="47"/>
        <v>5925</v>
      </c>
      <c r="M433">
        <f t="shared" si="48"/>
        <v>6061.5</v>
      </c>
    </row>
    <row r="434" spans="1:13" x14ac:dyDescent="0.3">
      <c r="A434" s="2">
        <f>[1]HHS_Unaccompanied_Alien_Childre!G434</f>
        <v>45586</v>
      </c>
      <c r="B434">
        <f>[2]HHS_Unaccompanied_Alien_Childre!B434</f>
        <v>108</v>
      </c>
      <c r="C434">
        <f>[3]HHS_Unaccompanied_Alien_Childre!C434</f>
        <v>220</v>
      </c>
      <c r="D434">
        <f>[2]HHS_Unaccompanied_Alien_Childre!D434</f>
        <v>213</v>
      </c>
      <c r="E434">
        <f>[2]HHS_Unaccompanied_Alien_Childre!E434</f>
        <v>5966</v>
      </c>
      <c r="F434">
        <f>[3]HHS_Unaccompanied_Alien_Childre!F434</f>
        <v>154</v>
      </c>
      <c r="G434">
        <f t="shared" si="43"/>
        <v>48</v>
      </c>
      <c r="H434" t="str">
        <f t="shared" si="44"/>
        <v>Increase</v>
      </c>
      <c r="I434">
        <f t="shared" si="42"/>
        <v>-105</v>
      </c>
      <c r="J434">
        <f t="shared" si="45"/>
        <v>5966</v>
      </c>
      <c r="K434">
        <f t="shared" si="46"/>
        <v>6075</v>
      </c>
      <c r="L434">
        <f t="shared" si="47"/>
        <v>5967</v>
      </c>
      <c r="M434">
        <f t="shared" si="48"/>
        <v>5996.5</v>
      </c>
    </row>
    <row r="435" spans="1:13" x14ac:dyDescent="0.3">
      <c r="A435" s="2">
        <f>[1]HHS_Unaccompanied_Alien_Childre!G435</f>
        <v>45587</v>
      </c>
      <c r="B435">
        <f>[2]HHS_Unaccompanied_Alien_Childre!B435</f>
        <v>180</v>
      </c>
      <c r="C435">
        <f>[3]HHS_Unaccompanied_Alien_Childre!C435</f>
        <v>280</v>
      </c>
      <c r="D435">
        <f>[2]HHS_Unaccompanied_Alien_Childre!D435</f>
        <v>146</v>
      </c>
      <c r="E435">
        <f>[2]HHS_Unaccompanied_Alien_Childre!E435</f>
        <v>6043</v>
      </c>
      <c r="F435">
        <f>[3]HHS_Unaccompanied_Alien_Childre!F435</f>
        <v>109</v>
      </c>
      <c r="G435">
        <f t="shared" si="43"/>
        <v>77</v>
      </c>
      <c r="H435" t="str">
        <f t="shared" si="44"/>
        <v>Increase</v>
      </c>
      <c r="I435">
        <f t="shared" si="42"/>
        <v>34</v>
      </c>
      <c r="J435">
        <f t="shared" si="45"/>
        <v>6043</v>
      </c>
      <c r="K435">
        <f t="shared" si="46"/>
        <v>5889</v>
      </c>
      <c r="L435">
        <f t="shared" si="47"/>
        <v>6040</v>
      </c>
      <c r="M435">
        <f t="shared" si="48"/>
        <v>5927.5</v>
      </c>
    </row>
    <row r="436" spans="1:13" x14ac:dyDescent="0.3">
      <c r="A436" s="2">
        <f>[1]HHS_Unaccompanied_Alien_Childre!G436</f>
        <v>45588</v>
      </c>
      <c r="B436">
        <f>[2]HHS_Unaccompanied_Alien_Childre!B436</f>
        <v>134</v>
      </c>
      <c r="C436">
        <f>[3]HHS_Unaccompanied_Alien_Childre!C436</f>
        <v>294</v>
      </c>
      <c r="D436">
        <f>[2]HHS_Unaccompanied_Alien_Childre!D436</f>
        <v>186</v>
      </c>
      <c r="E436">
        <f>[2]HHS_Unaccompanied_Alien_Childre!E436</f>
        <v>6077</v>
      </c>
      <c r="F436">
        <f>[3]HHS_Unaccompanied_Alien_Childre!F436</f>
        <v>138</v>
      </c>
      <c r="G436">
        <f t="shared" si="43"/>
        <v>34</v>
      </c>
      <c r="H436" t="str">
        <f t="shared" si="44"/>
        <v>Increase</v>
      </c>
      <c r="I436">
        <f t="shared" si="42"/>
        <v>-52</v>
      </c>
      <c r="J436">
        <f t="shared" si="45"/>
        <v>6077</v>
      </c>
      <c r="K436">
        <f t="shared" si="46"/>
        <v>5935</v>
      </c>
      <c r="L436">
        <f t="shared" si="47"/>
        <v>6091</v>
      </c>
      <c r="M436">
        <f t="shared" si="48"/>
        <v>5989</v>
      </c>
    </row>
    <row r="437" spans="1:13" x14ac:dyDescent="0.3">
      <c r="A437" s="2">
        <f>[1]HHS_Unaccompanied_Alien_Childre!G437</f>
        <v>45592</v>
      </c>
      <c r="B437">
        <f>[2]HHS_Unaccompanied_Alien_Childre!B437</f>
        <v>202</v>
      </c>
      <c r="C437">
        <f>[3]HHS_Unaccompanied_Alien_Childre!C437</f>
        <v>313</v>
      </c>
      <c r="D437">
        <f>[2]HHS_Unaccompanied_Alien_Childre!D437</f>
        <v>158</v>
      </c>
      <c r="E437">
        <f>[2]HHS_Unaccompanied_Alien_Childre!E437</f>
        <v>5974</v>
      </c>
      <c r="F437">
        <f>[3]HHS_Unaccompanied_Alien_Childre!F437</f>
        <v>192</v>
      </c>
      <c r="G437">
        <f t="shared" si="43"/>
        <v>-103</v>
      </c>
      <c r="H437" t="str">
        <f t="shared" si="44"/>
        <v>Decrease</v>
      </c>
      <c r="I437">
        <f t="shared" si="42"/>
        <v>44</v>
      </c>
      <c r="J437">
        <f t="shared" si="45"/>
        <v>5974</v>
      </c>
      <c r="K437">
        <f t="shared" si="46"/>
        <v>6013</v>
      </c>
      <c r="L437">
        <f t="shared" si="47"/>
        <v>6118</v>
      </c>
      <c r="M437">
        <f t="shared" si="48"/>
        <v>6045</v>
      </c>
    </row>
    <row r="438" spans="1:13" x14ac:dyDescent="0.3">
      <c r="A438" s="2">
        <f>[1]HHS_Unaccompanied_Alien_Childre!G438</f>
        <v>45593</v>
      </c>
      <c r="B438">
        <f>[2]HHS_Unaccompanied_Alien_Childre!B438</f>
        <v>110</v>
      </c>
      <c r="C438">
        <f>[3]HHS_Unaccompanied_Alien_Childre!C438</f>
        <v>272</v>
      </c>
      <c r="D438">
        <f>[2]HHS_Unaccompanied_Alien_Childre!D438</f>
        <v>193</v>
      </c>
      <c r="E438">
        <f>[2]HHS_Unaccompanied_Alien_Childre!E438</f>
        <v>6008</v>
      </c>
      <c r="F438">
        <f>[3]HHS_Unaccompanied_Alien_Childre!F438</f>
        <v>156</v>
      </c>
      <c r="G438">
        <f t="shared" si="43"/>
        <v>34</v>
      </c>
      <c r="H438" t="str">
        <f t="shared" si="44"/>
        <v>Increase</v>
      </c>
      <c r="I438">
        <f t="shared" si="42"/>
        <v>-83</v>
      </c>
      <c r="J438">
        <f t="shared" si="45"/>
        <v>6008</v>
      </c>
      <c r="K438">
        <f t="shared" si="46"/>
        <v>6036</v>
      </c>
      <c r="L438">
        <f t="shared" si="47"/>
        <v>5968</v>
      </c>
      <c r="M438">
        <f t="shared" si="48"/>
        <v>6005</v>
      </c>
    </row>
    <row r="439" spans="1:13" x14ac:dyDescent="0.3">
      <c r="A439" s="2">
        <f>[1]HHS_Unaccompanied_Alien_Childre!G439</f>
        <v>45594</v>
      </c>
      <c r="B439">
        <f>[2]HHS_Unaccompanied_Alien_Childre!B439</f>
        <v>166</v>
      </c>
      <c r="C439">
        <f>[3]HHS_Unaccompanied_Alien_Childre!C439</f>
        <v>277</v>
      </c>
      <c r="D439">
        <f>[2]HHS_Unaccompanied_Alien_Childre!D439</f>
        <v>229</v>
      </c>
      <c r="E439">
        <f>[2]HHS_Unaccompanied_Alien_Childre!E439</f>
        <v>6106</v>
      </c>
      <c r="F439">
        <f>[3]HHS_Unaccompanied_Alien_Childre!F439</f>
        <v>126</v>
      </c>
      <c r="G439">
        <f t="shared" si="43"/>
        <v>98</v>
      </c>
      <c r="H439" t="str">
        <f t="shared" si="44"/>
        <v>Increase</v>
      </c>
      <c r="I439">
        <f t="shared" si="42"/>
        <v>-63</v>
      </c>
      <c r="J439">
        <f t="shared" si="45"/>
        <v>6106</v>
      </c>
      <c r="K439">
        <f t="shared" si="46"/>
        <v>6076</v>
      </c>
      <c r="L439">
        <f t="shared" si="47"/>
        <v>6013</v>
      </c>
      <c r="M439">
        <f t="shared" si="48"/>
        <v>6042</v>
      </c>
    </row>
    <row r="440" spans="1:13" x14ac:dyDescent="0.3">
      <c r="A440" s="2">
        <f>[1]HHS_Unaccompanied_Alien_Childre!G440</f>
        <v>45595</v>
      </c>
      <c r="B440">
        <f>[2]HHS_Unaccompanied_Alien_Childre!B440</f>
        <v>136</v>
      </c>
      <c r="C440">
        <f>[3]HHS_Unaccompanied_Alien_Childre!C440</f>
        <v>276</v>
      </c>
      <c r="D440">
        <f>[2]HHS_Unaccompanied_Alien_Childre!D440</f>
        <v>178</v>
      </c>
      <c r="E440">
        <f>[2]HHS_Unaccompanied_Alien_Childre!E440</f>
        <v>6149</v>
      </c>
      <c r="F440">
        <f>[3]HHS_Unaccompanied_Alien_Childre!F440</f>
        <v>160</v>
      </c>
      <c r="G440">
        <f t="shared" si="43"/>
        <v>43</v>
      </c>
      <c r="H440" t="str">
        <f t="shared" si="44"/>
        <v>Increase</v>
      </c>
      <c r="I440">
        <f t="shared" si="42"/>
        <v>-42</v>
      </c>
      <c r="J440">
        <f t="shared" si="45"/>
        <v>6149</v>
      </c>
      <c r="K440">
        <f t="shared" si="46"/>
        <v>5918</v>
      </c>
      <c r="L440">
        <f t="shared" si="47"/>
        <v>6047</v>
      </c>
      <c r="M440">
        <f t="shared" si="48"/>
        <v>6012</v>
      </c>
    </row>
    <row r="441" spans="1:13" x14ac:dyDescent="0.3">
      <c r="A441" s="2">
        <f>[1]HHS_Unaccompanied_Alien_Childre!G441</f>
        <v>45596</v>
      </c>
      <c r="B441">
        <f>[2]HHS_Unaccompanied_Alien_Childre!B441</f>
        <v>87</v>
      </c>
      <c r="C441">
        <f>[3]HHS_Unaccompanied_Alien_Childre!C441</f>
        <v>246</v>
      </c>
      <c r="D441">
        <f>[2]HHS_Unaccompanied_Alien_Childre!D441</f>
        <v>173</v>
      </c>
      <c r="E441">
        <f>[2]HHS_Unaccompanied_Alien_Childre!E441</f>
        <v>6148</v>
      </c>
      <c r="F441">
        <f>[3]HHS_Unaccompanied_Alien_Childre!F441</f>
        <v>177</v>
      </c>
      <c r="G441">
        <f t="shared" si="43"/>
        <v>-1</v>
      </c>
      <c r="H441" t="str">
        <f t="shared" si="44"/>
        <v>Decrease</v>
      </c>
      <c r="I441">
        <f t="shared" si="42"/>
        <v>-86</v>
      </c>
      <c r="J441">
        <f t="shared" si="45"/>
        <v>6148</v>
      </c>
      <c r="K441">
        <f t="shared" si="46"/>
        <v>5966</v>
      </c>
      <c r="L441">
        <f t="shared" si="47"/>
        <v>6075</v>
      </c>
      <c r="M441">
        <f t="shared" si="48"/>
        <v>6057.5</v>
      </c>
    </row>
    <row r="442" spans="1:13" x14ac:dyDescent="0.3">
      <c r="A442" s="2">
        <f>[1]HHS_Unaccompanied_Alien_Childre!G442</f>
        <v>45599</v>
      </c>
      <c r="B442">
        <f>[2]HHS_Unaccompanied_Alien_Childre!B442</f>
        <v>84</v>
      </c>
      <c r="C442">
        <f>[3]HHS_Unaccompanied_Alien_Childre!C442</f>
        <v>171</v>
      </c>
      <c r="D442">
        <f>[2]HHS_Unaccompanied_Alien_Childre!D442</f>
        <v>157</v>
      </c>
      <c r="E442">
        <f>[2]HHS_Unaccompanied_Alien_Childre!E442</f>
        <v>5990</v>
      </c>
      <c r="F442">
        <f>[3]HHS_Unaccompanied_Alien_Childre!F442</f>
        <v>184</v>
      </c>
      <c r="G442">
        <f t="shared" si="43"/>
        <v>-158</v>
      </c>
      <c r="H442" t="str">
        <f t="shared" si="44"/>
        <v>Decrease</v>
      </c>
      <c r="I442">
        <f t="shared" si="42"/>
        <v>-73</v>
      </c>
      <c r="J442">
        <f t="shared" si="45"/>
        <v>5990</v>
      </c>
      <c r="K442">
        <f t="shared" si="46"/>
        <v>6043</v>
      </c>
      <c r="L442">
        <f t="shared" si="47"/>
        <v>5889</v>
      </c>
      <c r="M442">
        <f t="shared" si="48"/>
        <v>6095.5</v>
      </c>
    </row>
    <row r="443" spans="1:13" x14ac:dyDescent="0.3">
      <c r="A443" s="2">
        <f>[1]HHS_Unaccompanied_Alien_Childre!G443</f>
        <v>45600</v>
      </c>
      <c r="B443">
        <f>[2]HHS_Unaccompanied_Alien_Childre!B443</f>
        <v>167</v>
      </c>
      <c r="C443">
        <f>[3]HHS_Unaccompanied_Alien_Childre!C443</f>
        <v>209</v>
      </c>
      <c r="D443">
        <f>[2]HHS_Unaccompanied_Alien_Childre!D443</f>
        <v>157</v>
      </c>
      <c r="E443">
        <f>[2]HHS_Unaccompanied_Alien_Childre!E443</f>
        <v>6007</v>
      </c>
      <c r="F443">
        <f>[3]HHS_Unaccompanied_Alien_Childre!F443</f>
        <v>132</v>
      </c>
      <c r="G443">
        <f t="shared" si="43"/>
        <v>17</v>
      </c>
      <c r="H443" t="str">
        <f t="shared" si="44"/>
        <v>Increase</v>
      </c>
      <c r="I443">
        <f t="shared" si="42"/>
        <v>10</v>
      </c>
      <c r="J443">
        <f t="shared" si="45"/>
        <v>6007</v>
      </c>
      <c r="K443">
        <f t="shared" si="46"/>
        <v>6077</v>
      </c>
      <c r="L443">
        <f t="shared" si="47"/>
        <v>5935</v>
      </c>
      <c r="M443">
        <f t="shared" si="48"/>
        <v>6033.5</v>
      </c>
    </row>
    <row r="444" spans="1:13" x14ac:dyDescent="0.3">
      <c r="A444" s="2">
        <f>[1]HHS_Unaccompanied_Alien_Childre!G444</f>
        <v>45601</v>
      </c>
      <c r="B444">
        <f>[2]HHS_Unaccompanied_Alien_Childre!B444</f>
        <v>109</v>
      </c>
      <c r="C444">
        <f>[3]HHS_Unaccompanied_Alien_Childre!C444</f>
        <v>245</v>
      </c>
      <c r="D444">
        <f>[2]HHS_Unaccompanied_Alien_Childre!D444</f>
        <v>159</v>
      </c>
      <c r="E444">
        <f>[2]HHS_Unaccompanied_Alien_Childre!E444</f>
        <v>6045</v>
      </c>
      <c r="F444">
        <f>[3]HHS_Unaccompanied_Alien_Childre!F444</f>
        <v>126</v>
      </c>
      <c r="G444">
        <f t="shared" si="43"/>
        <v>38</v>
      </c>
      <c r="H444" t="str">
        <f t="shared" si="44"/>
        <v>Increase</v>
      </c>
      <c r="I444">
        <f t="shared" si="42"/>
        <v>-50</v>
      </c>
      <c r="J444">
        <f t="shared" si="45"/>
        <v>6045</v>
      </c>
      <c r="K444">
        <f t="shared" si="46"/>
        <v>5974</v>
      </c>
      <c r="L444">
        <f t="shared" si="47"/>
        <v>6013</v>
      </c>
      <c r="M444">
        <f t="shared" si="48"/>
        <v>5990.5</v>
      </c>
    </row>
    <row r="445" spans="1:13" x14ac:dyDescent="0.3">
      <c r="A445" s="2">
        <f>[1]HHS_Unaccompanied_Alien_Childre!G445</f>
        <v>45602</v>
      </c>
      <c r="B445">
        <f>[2]HHS_Unaccompanied_Alien_Childre!B445</f>
        <v>156</v>
      </c>
      <c r="C445">
        <f>[3]HHS_Unaccompanied_Alien_Childre!C445</f>
        <v>256</v>
      </c>
      <c r="D445">
        <f>[2]HHS_Unaccompanied_Alien_Childre!D445</f>
        <v>176</v>
      </c>
      <c r="E445">
        <f>[2]HHS_Unaccompanied_Alien_Childre!E445</f>
        <v>6086</v>
      </c>
      <c r="F445">
        <f>[3]HHS_Unaccompanied_Alien_Childre!F445</f>
        <v>137</v>
      </c>
      <c r="G445">
        <f t="shared" si="43"/>
        <v>41</v>
      </c>
      <c r="H445" t="str">
        <f t="shared" si="44"/>
        <v>Increase</v>
      </c>
      <c r="I445">
        <f t="shared" si="42"/>
        <v>-20</v>
      </c>
      <c r="J445">
        <f t="shared" si="45"/>
        <v>6086</v>
      </c>
      <c r="K445">
        <f t="shared" si="46"/>
        <v>6008</v>
      </c>
      <c r="L445">
        <f t="shared" si="47"/>
        <v>6036</v>
      </c>
      <c r="M445">
        <f t="shared" si="48"/>
        <v>6026.5</v>
      </c>
    </row>
    <row r="446" spans="1:13" x14ac:dyDescent="0.3">
      <c r="A446" s="2">
        <f>[1]HHS_Unaccompanied_Alien_Childre!G446</f>
        <v>45603</v>
      </c>
      <c r="B446">
        <f>[2]HHS_Unaccompanied_Alien_Childre!B446</f>
        <v>125</v>
      </c>
      <c r="C446">
        <f>[3]HHS_Unaccompanied_Alien_Childre!C446</f>
        <v>232</v>
      </c>
      <c r="D446">
        <f>[2]HHS_Unaccompanied_Alien_Childre!D446</f>
        <v>192</v>
      </c>
      <c r="E446">
        <f>[2]HHS_Unaccompanied_Alien_Childre!E446</f>
        <v>6084</v>
      </c>
      <c r="F446">
        <f>[3]HHS_Unaccompanied_Alien_Childre!F446</f>
        <v>177</v>
      </c>
      <c r="G446">
        <f t="shared" si="43"/>
        <v>-2</v>
      </c>
      <c r="H446" t="str">
        <f t="shared" si="44"/>
        <v>Decrease</v>
      </c>
      <c r="I446">
        <f t="shared" si="42"/>
        <v>-67</v>
      </c>
      <c r="J446">
        <f t="shared" si="45"/>
        <v>6084</v>
      </c>
      <c r="K446">
        <f t="shared" si="46"/>
        <v>6106</v>
      </c>
      <c r="L446">
        <f t="shared" si="47"/>
        <v>6076</v>
      </c>
      <c r="M446">
        <f t="shared" si="48"/>
        <v>6096</v>
      </c>
    </row>
    <row r="447" spans="1:13" x14ac:dyDescent="0.3">
      <c r="A447" s="2">
        <f>[1]HHS_Unaccompanied_Alien_Childre!G447</f>
        <v>45607</v>
      </c>
      <c r="B447">
        <f>[2]HHS_Unaccompanied_Alien_Childre!B447</f>
        <v>118</v>
      </c>
      <c r="C447">
        <f>[3]HHS_Unaccompanied_Alien_Childre!C447</f>
        <v>139</v>
      </c>
      <c r="D447">
        <f>[2]HHS_Unaccompanied_Alien_Childre!D447</f>
        <v>168</v>
      </c>
      <c r="E447">
        <f>[2]HHS_Unaccompanied_Alien_Childre!E447</f>
        <v>5963</v>
      </c>
      <c r="F447">
        <f>[3]HHS_Unaccompanied_Alien_Childre!F447</f>
        <v>145</v>
      </c>
      <c r="G447">
        <f t="shared" si="43"/>
        <v>-121</v>
      </c>
      <c r="H447" t="str">
        <f t="shared" si="44"/>
        <v>Decrease</v>
      </c>
      <c r="I447">
        <f t="shared" si="42"/>
        <v>-50</v>
      </c>
      <c r="J447">
        <f t="shared" si="45"/>
        <v>5963</v>
      </c>
      <c r="K447">
        <f t="shared" si="46"/>
        <v>6149</v>
      </c>
      <c r="L447">
        <f t="shared" si="47"/>
        <v>5918</v>
      </c>
      <c r="M447">
        <f t="shared" si="48"/>
        <v>6116.5</v>
      </c>
    </row>
    <row r="448" spans="1:13" x14ac:dyDescent="0.3">
      <c r="A448" s="2">
        <f>[1]HHS_Unaccompanied_Alien_Childre!G448</f>
        <v>45608</v>
      </c>
      <c r="B448">
        <f>[2]HHS_Unaccompanied_Alien_Childre!B448</f>
        <v>142</v>
      </c>
      <c r="C448">
        <f>[3]HHS_Unaccompanied_Alien_Childre!C448</f>
        <v>235</v>
      </c>
      <c r="D448">
        <f>[2]HHS_Unaccompanied_Alien_Childre!D448</f>
        <v>139</v>
      </c>
      <c r="E448">
        <f>[2]HHS_Unaccompanied_Alien_Childre!E448</f>
        <v>5975</v>
      </c>
      <c r="F448">
        <f>[3]HHS_Unaccompanied_Alien_Childre!F448</f>
        <v>138</v>
      </c>
      <c r="G448">
        <f t="shared" si="43"/>
        <v>12</v>
      </c>
      <c r="H448" t="str">
        <f t="shared" si="44"/>
        <v>Increase</v>
      </c>
      <c r="I448">
        <f t="shared" si="42"/>
        <v>3</v>
      </c>
      <c r="J448">
        <f t="shared" si="45"/>
        <v>5975</v>
      </c>
      <c r="K448">
        <f t="shared" si="46"/>
        <v>6148</v>
      </c>
      <c r="L448">
        <f t="shared" si="47"/>
        <v>5966</v>
      </c>
      <c r="M448">
        <f t="shared" si="48"/>
        <v>6055.5</v>
      </c>
    </row>
    <row r="449" spans="1:13" x14ac:dyDescent="0.3">
      <c r="A449" s="2">
        <f>[1]HHS_Unaccompanied_Alien_Childre!G449</f>
        <v>45609</v>
      </c>
      <c r="B449">
        <f>[2]HHS_Unaccompanied_Alien_Childre!B449</f>
        <v>148</v>
      </c>
      <c r="C449">
        <f>[3]HHS_Unaccompanied_Alien_Childre!C449</f>
        <v>245</v>
      </c>
      <c r="D449">
        <f>[2]HHS_Unaccompanied_Alien_Childre!D449</f>
        <v>175</v>
      </c>
      <c r="E449">
        <f>[2]HHS_Unaccompanied_Alien_Childre!E449</f>
        <v>5966</v>
      </c>
      <c r="F449">
        <f>[3]HHS_Unaccompanied_Alien_Childre!F449</f>
        <v>151</v>
      </c>
      <c r="G449">
        <f t="shared" si="43"/>
        <v>-9</v>
      </c>
      <c r="H449" t="str">
        <f t="shared" si="44"/>
        <v>Decrease</v>
      </c>
      <c r="I449">
        <f t="shared" si="42"/>
        <v>-27</v>
      </c>
      <c r="J449">
        <f t="shared" si="45"/>
        <v>5966</v>
      </c>
      <c r="K449">
        <f t="shared" si="46"/>
        <v>5990</v>
      </c>
      <c r="L449">
        <f t="shared" si="47"/>
        <v>6043</v>
      </c>
      <c r="M449">
        <f t="shared" si="48"/>
        <v>5982.5</v>
      </c>
    </row>
    <row r="450" spans="1:13" x14ac:dyDescent="0.3">
      <c r="A450" s="2">
        <f>[1]HHS_Unaccompanied_Alien_Childre!G450</f>
        <v>45610</v>
      </c>
      <c r="B450">
        <f>[2]HHS_Unaccompanied_Alien_Childre!B450</f>
        <v>119</v>
      </c>
      <c r="C450">
        <f>[3]HHS_Unaccompanied_Alien_Childre!C450</f>
        <v>219</v>
      </c>
      <c r="D450">
        <f>[2]HHS_Unaccompanied_Alien_Childre!D450</f>
        <v>210</v>
      </c>
      <c r="E450">
        <f>[2]HHS_Unaccompanied_Alien_Childre!E450</f>
        <v>6025</v>
      </c>
      <c r="F450">
        <f>[3]HHS_Unaccompanied_Alien_Childre!F450</f>
        <v>172</v>
      </c>
      <c r="G450">
        <f t="shared" si="43"/>
        <v>59</v>
      </c>
      <c r="H450" t="str">
        <f t="shared" si="44"/>
        <v>Increase</v>
      </c>
      <c r="I450">
        <f t="shared" si="42"/>
        <v>-91</v>
      </c>
      <c r="J450">
        <f t="shared" si="45"/>
        <v>6025</v>
      </c>
      <c r="K450">
        <f t="shared" si="46"/>
        <v>6007</v>
      </c>
      <c r="L450">
        <f t="shared" si="47"/>
        <v>6077</v>
      </c>
      <c r="M450">
        <f t="shared" si="48"/>
        <v>5986.5</v>
      </c>
    </row>
    <row r="451" spans="1:13" x14ac:dyDescent="0.3">
      <c r="A451" s="2">
        <f>[1]HHS_Unaccompanied_Alien_Childre!G451</f>
        <v>45613</v>
      </c>
      <c r="B451">
        <f>[2]HHS_Unaccompanied_Alien_Childre!B451</f>
        <v>105</v>
      </c>
      <c r="C451">
        <f>[3]HHS_Unaccompanied_Alien_Childre!C451</f>
        <v>210</v>
      </c>
      <c r="D451">
        <f>[2]HHS_Unaccompanied_Alien_Childre!D451</f>
        <v>149</v>
      </c>
      <c r="E451">
        <f>[2]HHS_Unaccompanied_Alien_Childre!E451</f>
        <v>5816</v>
      </c>
      <c r="F451">
        <f>[3]HHS_Unaccompanied_Alien_Childre!F451</f>
        <v>195</v>
      </c>
      <c r="G451">
        <f t="shared" si="43"/>
        <v>-209</v>
      </c>
      <c r="H451" t="str">
        <f t="shared" si="44"/>
        <v>Decrease</v>
      </c>
      <c r="I451">
        <f t="shared" ref="I451:I514" si="49">B451-D451</f>
        <v>-44</v>
      </c>
      <c r="J451">
        <f t="shared" si="45"/>
        <v>5816</v>
      </c>
      <c r="K451">
        <f t="shared" si="46"/>
        <v>6045</v>
      </c>
      <c r="L451">
        <f t="shared" si="47"/>
        <v>5974</v>
      </c>
      <c r="M451">
        <f t="shared" si="48"/>
        <v>6035</v>
      </c>
    </row>
    <row r="452" spans="1:13" x14ac:dyDescent="0.3">
      <c r="A452" s="2">
        <f>[1]HHS_Unaccompanied_Alien_Childre!G452</f>
        <v>45614</v>
      </c>
      <c r="B452">
        <f>[2]HHS_Unaccompanied_Alien_Childre!B452</f>
        <v>143</v>
      </c>
      <c r="C452">
        <f>[3]HHS_Unaccompanied_Alien_Childre!C452</f>
        <v>203</v>
      </c>
      <c r="D452">
        <f>[2]HHS_Unaccompanied_Alien_Childre!D452</f>
        <v>163</v>
      </c>
      <c r="E452">
        <f>[2]HHS_Unaccompanied_Alien_Childre!E452</f>
        <v>5819</v>
      </c>
      <c r="F452">
        <f>[3]HHS_Unaccompanied_Alien_Childre!F452</f>
        <v>138</v>
      </c>
      <c r="G452">
        <f t="shared" ref="G452:G515" si="50">E452-E451</f>
        <v>3</v>
      </c>
      <c r="H452" t="str">
        <f t="shared" ref="H452:H515" si="51">IF(G452&gt;0,"Increase",IF(G452&lt;0,"Decrease","No Change"))</f>
        <v>Increase</v>
      </c>
      <c r="I452">
        <f t="shared" si="49"/>
        <v>-20</v>
      </c>
      <c r="J452">
        <f t="shared" si="45"/>
        <v>5819</v>
      </c>
      <c r="K452">
        <f t="shared" si="46"/>
        <v>6086</v>
      </c>
      <c r="L452">
        <f t="shared" si="47"/>
        <v>6008</v>
      </c>
      <c r="M452">
        <f t="shared" si="48"/>
        <v>5951</v>
      </c>
    </row>
    <row r="453" spans="1:13" x14ac:dyDescent="0.3">
      <c r="A453" s="2">
        <f>[1]HHS_Unaccompanied_Alien_Childre!G453</f>
        <v>45615</v>
      </c>
      <c r="B453">
        <f>[2]HHS_Unaccompanied_Alien_Childre!B453</f>
        <v>119</v>
      </c>
      <c r="C453">
        <f>[3]HHS_Unaccompanied_Alien_Childre!C453</f>
        <v>209</v>
      </c>
      <c r="D453">
        <f>[2]HHS_Unaccompanied_Alien_Childre!D453</f>
        <v>152</v>
      </c>
      <c r="E453">
        <f>[2]HHS_Unaccompanied_Alien_Childre!E453</f>
        <v>5844</v>
      </c>
      <c r="F453">
        <f>[3]HHS_Unaccompanied_Alien_Childre!F453</f>
        <v>146</v>
      </c>
      <c r="G453">
        <f t="shared" si="50"/>
        <v>25</v>
      </c>
      <c r="H453" t="str">
        <f t="shared" si="51"/>
        <v>Increase</v>
      </c>
      <c r="I453">
        <f t="shared" si="49"/>
        <v>-33</v>
      </c>
      <c r="J453">
        <f t="shared" si="45"/>
        <v>5844</v>
      </c>
      <c r="K453">
        <f t="shared" si="46"/>
        <v>6084</v>
      </c>
      <c r="L453">
        <f t="shared" si="47"/>
        <v>6106</v>
      </c>
      <c r="M453">
        <f t="shared" si="48"/>
        <v>5951.5</v>
      </c>
    </row>
    <row r="454" spans="1:13" x14ac:dyDescent="0.3">
      <c r="A454" s="2">
        <f>[1]HHS_Unaccompanied_Alien_Childre!G454</f>
        <v>45616</v>
      </c>
      <c r="B454">
        <f>[2]HHS_Unaccompanied_Alien_Childre!B454</f>
        <v>155</v>
      </c>
      <c r="C454">
        <f>[3]HHS_Unaccompanied_Alien_Childre!C454</f>
        <v>212</v>
      </c>
      <c r="D454">
        <f>[2]HHS_Unaccompanied_Alien_Childre!D454</f>
        <v>181</v>
      </c>
      <c r="E454">
        <f>[2]HHS_Unaccompanied_Alien_Childre!E454</f>
        <v>5879</v>
      </c>
      <c r="F454">
        <f>[3]HHS_Unaccompanied_Alien_Childre!F454</f>
        <v>148</v>
      </c>
      <c r="G454">
        <f t="shared" si="50"/>
        <v>35</v>
      </c>
      <c r="H454" t="str">
        <f t="shared" si="51"/>
        <v>Increase</v>
      </c>
      <c r="I454">
        <f t="shared" si="49"/>
        <v>-26</v>
      </c>
      <c r="J454">
        <f t="shared" si="45"/>
        <v>5879</v>
      </c>
      <c r="K454">
        <f t="shared" si="46"/>
        <v>5963</v>
      </c>
      <c r="L454">
        <f t="shared" si="47"/>
        <v>6149</v>
      </c>
      <c r="M454">
        <f t="shared" si="48"/>
        <v>5903.5</v>
      </c>
    </row>
    <row r="455" spans="1:13" x14ac:dyDescent="0.3">
      <c r="A455" s="2">
        <f>[1]HHS_Unaccompanied_Alien_Childre!G455</f>
        <v>45617</v>
      </c>
      <c r="B455">
        <f>[2]HHS_Unaccompanied_Alien_Childre!B455</f>
        <v>109</v>
      </c>
      <c r="C455">
        <f>[3]HHS_Unaccompanied_Alien_Childre!C455</f>
        <v>214</v>
      </c>
      <c r="D455">
        <f>[2]HHS_Unaccompanied_Alien_Childre!D455</f>
        <v>173</v>
      </c>
      <c r="E455">
        <f>[2]HHS_Unaccompanied_Alien_Childre!E455</f>
        <v>5850</v>
      </c>
      <c r="F455">
        <f>[3]HHS_Unaccompanied_Alien_Childre!F455</f>
        <v>210</v>
      </c>
      <c r="G455">
        <f t="shared" si="50"/>
        <v>-29</v>
      </c>
      <c r="H455" t="str">
        <f t="shared" si="51"/>
        <v>Decrease</v>
      </c>
      <c r="I455">
        <f t="shared" si="49"/>
        <v>-64</v>
      </c>
      <c r="J455">
        <f t="shared" si="45"/>
        <v>5850</v>
      </c>
      <c r="K455">
        <f t="shared" si="46"/>
        <v>5975</v>
      </c>
      <c r="L455">
        <f t="shared" si="47"/>
        <v>6148</v>
      </c>
      <c r="M455">
        <f t="shared" si="48"/>
        <v>5927</v>
      </c>
    </row>
    <row r="456" spans="1:13" x14ac:dyDescent="0.3">
      <c r="A456" s="2">
        <f>[1]HHS_Unaccompanied_Alien_Childre!G456</f>
        <v>45620</v>
      </c>
      <c r="B456">
        <f>[2]HHS_Unaccompanied_Alien_Childre!B456</f>
        <v>191</v>
      </c>
      <c r="C456">
        <f>[3]HHS_Unaccompanied_Alien_Childre!C456</f>
        <v>283</v>
      </c>
      <c r="D456">
        <f>[2]HHS_Unaccompanied_Alien_Childre!D456</f>
        <v>192</v>
      </c>
      <c r="E456">
        <f>[2]HHS_Unaccompanied_Alien_Childre!E456</f>
        <v>5664</v>
      </c>
      <c r="F456">
        <f>[3]HHS_Unaccompanied_Alien_Childre!F456</f>
        <v>207</v>
      </c>
      <c r="G456">
        <f t="shared" si="50"/>
        <v>-186</v>
      </c>
      <c r="H456" t="str">
        <f t="shared" si="51"/>
        <v>Decrease</v>
      </c>
      <c r="I456">
        <f t="shared" si="49"/>
        <v>-1</v>
      </c>
      <c r="J456">
        <f t="shared" si="45"/>
        <v>5664</v>
      </c>
      <c r="K456">
        <f t="shared" si="46"/>
        <v>5966</v>
      </c>
      <c r="L456">
        <f t="shared" si="47"/>
        <v>5990</v>
      </c>
      <c r="M456">
        <f t="shared" si="48"/>
        <v>5908</v>
      </c>
    </row>
    <row r="457" spans="1:13" x14ac:dyDescent="0.3">
      <c r="A457" s="2">
        <f>[1]HHS_Unaccompanied_Alien_Childre!G457</f>
        <v>45621</v>
      </c>
      <c r="B457">
        <f>[2]HHS_Unaccompanied_Alien_Childre!B457</f>
        <v>170</v>
      </c>
      <c r="C457">
        <f>[3]HHS_Unaccompanied_Alien_Childre!C457</f>
        <v>297</v>
      </c>
      <c r="D457">
        <f>[2]HHS_Unaccompanied_Alien_Childre!D457</f>
        <v>196</v>
      </c>
      <c r="E457">
        <f>[2]HHS_Unaccompanied_Alien_Childre!E457</f>
        <v>5715</v>
      </c>
      <c r="F457">
        <f>[3]HHS_Unaccompanied_Alien_Childre!F457</f>
        <v>129</v>
      </c>
      <c r="G457">
        <f t="shared" si="50"/>
        <v>51</v>
      </c>
      <c r="H457" t="str">
        <f t="shared" si="51"/>
        <v>Increase</v>
      </c>
      <c r="I457">
        <f t="shared" si="49"/>
        <v>-26</v>
      </c>
      <c r="J457">
        <f t="shared" si="45"/>
        <v>5715</v>
      </c>
      <c r="K457">
        <f t="shared" si="46"/>
        <v>6025</v>
      </c>
      <c r="L457">
        <f t="shared" si="47"/>
        <v>6007</v>
      </c>
      <c r="M457">
        <f t="shared" si="48"/>
        <v>5844.5</v>
      </c>
    </row>
    <row r="458" spans="1:13" x14ac:dyDescent="0.3">
      <c r="A458" s="2">
        <f>[1]HHS_Unaccompanied_Alien_Childre!G458</f>
        <v>45622</v>
      </c>
      <c r="B458">
        <f>[2]HHS_Unaccompanied_Alien_Childre!B458</f>
        <v>152</v>
      </c>
      <c r="C458">
        <f>[3]HHS_Unaccompanied_Alien_Childre!C458</f>
        <v>272</v>
      </c>
      <c r="D458">
        <f>[2]HHS_Unaccompanied_Alien_Childre!D458</f>
        <v>214</v>
      </c>
      <c r="E458">
        <f>[2]HHS_Unaccompanied_Alien_Childre!E458</f>
        <v>5826</v>
      </c>
      <c r="F458">
        <f>[3]HHS_Unaccompanied_Alien_Childre!F458</f>
        <v>112</v>
      </c>
      <c r="G458">
        <f t="shared" si="50"/>
        <v>111</v>
      </c>
      <c r="H458" t="str">
        <f t="shared" si="51"/>
        <v>Increase</v>
      </c>
      <c r="I458">
        <f t="shared" si="49"/>
        <v>-62</v>
      </c>
      <c r="J458">
        <f t="shared" si="45"/>
        <v>5826</v>
      </c>
      <c r="K458">
        <f t="shared" si="46"/>
        <v>5816</v>
      </c>
      <c r="L458">
        <f t="shared" si="47"/>
        <v>6045</v>
      </c>
      <c r="M458">
        <f t="shared" si="48"/>
        <v>5765.5</v>
      </c>
    </row>
    <row r="459" spans="1:13" x14ac:dyDescent="0.3">
      <c r="A459" s="2">
        <f>[1]HHS_Unaccompanied_Alien_Childre!G459</f>
        <v>45623</v>
      </c>
      <c r="B459">
        <f>[2]HHS_Unaccompanied_Alien_Childre!B459</f>
        <v>239</v>
      </c>
      <c r="C459">
        <f>[3]HHS_Unaccompanied_Alien_Childre!C459</f>
        <v>367</v>
      </c>
      <c r="D459">
        <f>[2]HHS_Unaccompanied_Alien_Childre!D459</f>
        <v>224</v>
      </c>
      <c r="E459">
        <f>[2]HHS_Unaccompanied_Alien_Childre!E459</f>
        <v>5862</v>
      </c>
      <c r="F459">
        <f>[3]HHS_Unaccompanied_Alien_Childre!F459</f>
        <v>211</v>
      </c>
      <c r="G459">
        <f t="shared" si="50"/>
        <v>36</v>
      </c>
      <c r="H459" t="str">
        <f t="shared" si="51"/>
        <v>Increase</v>
      </c>
      <c r="I459">
        <f t="shared" si="49"/>
        <v>15</v>
      </c>
      <c r="J459">
        <f t="shared" si="45"/>
        <v>5862</v>
      </c>
      <c r="K459">
        <f t="shared" si="46"/>
        <v>5819</v>
      </c>
      <c r="L459">
        <f t="shared" si="47"/>
        <v>6086</v>
      </c>
      <c r="M459">
        <f t="shared" si="48"/>
        <v>5822.5</v>
      </c>
    </row>
    <row r="460" spans="1:13" x14ac:dyDescent="0.3">
      <c r="A460" s="2">
        <f>[1]HHS_Unaccompanied_Alien_Childre!G460</f>
        <v>45624</v>
      </c>
      <c r="B460">
        <f>[2]HHS_Unaccompanied_Alien_Childre!B460</f>
        <v>113</v>
      </c>
      <c r="C460">
        <f>[3]HHS_Unaccompanied_Alien_Childre!C460</f>
        <v>280</v>
      </c>
      <c r="D460">
        <f>[2]HHS_Unaccompanied_Alien_Childre!D460</f>
        <v>237</v>
      </c>
      <c r="E460">
        <f>[2]HHS_Unaccompanied_Alien_Childre!E460</f>
        <v>5963</v>
      </c>
      <c r="F460">
        <f>[3]HHS_Unaccompanied_Alien_Childre!F460</f>
        <v>143</v>
      </c>
      <c r="G460">
        <f t="shared" si="50"/>
        <v>101</v>
      </c>
      <c r="H460" t="str">
        <f t="shared" si="51"/>
        <v>Increase</v>
      </c>
      <c r="I460">
        <f t="shared" si="49"/>
        <v>-124</v>
      </c>
      <c r="J460">
        <f t="shared" si="45"/>
        <v>5963</v>
      </c>
      <c r="K460">
        <f t="shared" si="46"/>
        <v>5844</v>
      </c>
      <c r="L460">
        <f t="shared" si="47"/>
        <v>6084</v>
      </c>
      <c r="M460">
        <f t="shared" si="48"/>
        <v>5853</v>
      </c>
    </row>
    <row r="461" spans="1:13" x14ac:dyDescent="0.3">
      <c r="A461" s="2">
        <f>[1]HHS_Unaccompanied_Alien_Childre!G461</f>
        <v>45627</v>
      </c>
      <c r="B461">
        <f>[2]HHS_Unaccompanied_Alien_Childre!B461</f>
        <v>196</v>
      </c>
      <c r="C461">
        <f>[3]HHS_Unaccompanied_Alien_Childre!C461</f>
        <v>306</v>
      </c>
      <c r="D461">
        <f>[2]HHS_Unaccompanied_Alien_Childre!D461</f>
        <v>187</v>
      </c>
      <c r="E461">
        <f>[2]HHS_Unaccompanied_Alien_Childre!E461</f>
        <v>5986</v>
      </c>
      <c r="F461">
        <f>[3]HHS_Unaccompanied_Alien_Childre!F461</f>
        <v>149</v>
      </c>
      <c r="G461">
        <f t="shared" si="50"/>
        <v>23</v>
      </c>
      <c r="H461" t="str">
        <f t="shared" si="51"/>
        <v>Increase</v>
      </c>
      <c r="I461">
        <f t="shared" si="49"/>
        <v>9</v>
      </c>
      <c r="J461">
        <f t="shared" si="45"/>
        <v>5986</v>
      </c>
      <c r="K461">
        <f t="shared" si="46"/>
        <v>5879</v>
      </c>
      <c r="L461">
        <f t="shared" si="47"/>
        <v>5963</v>
      </c>
      <c r="M461">
        <f t="shared" si="48"/>
        <v>5921</v>
      </c>
    </row>
    <row r="462" spans="1:13" x14ac:dyDescent="0.3">
      <c r="A462" s="2">
        <f>[1]HHS_Unaccompanied_Alien_Childre!G462</f>
        <v>45628</v>
      </c>
      <c r="B462">
        <f>[2]HHS_Unaccompanied_Alien_Childre!B462</f>
        <v>236</v>
      </c>
      <c r="C462">
        <f>[3]HHS_Unaccompanied_Alien_Childre!C462</f>
        <v>330</v>
      </c>
      <c r="D462">
        <f>[2]HHS_Unaccompanied_Alien_Childre!D462</f>
        <v>222</v>
      </c>
      <c r="E462">
        <f>[2]HHS_Unaccompanied_Alien_Childre!E462</f>
        <v>6061</v>
      </c>
      <c r="F462">
        <f>[3]HHS_Unaccompanied_Alien_Childre!F462</f>
        <v>115</v>
      </c>
      <c r="G462">
        <f t="shared" si="50"/>
        <v>75</v>
      </c>
      <c r="H462" t="str">
        <f t="shared" si="51"/>
        <v>Increase</v>
      </c>
      <c r="I462">
        <f t="shared" si="49"/>
        <v>14</v>
      </c>
      <c r="J462">
        <f t="shared" si="45"/>
        <v>6061</v>
      </c>
      <c r="K462">
        <f t="shared" si="46"/>
        <v>5850</v>
      </c>
      <c r="L462">
        <f t="shared" si="47"/>
        <v>5975</v>
      </c>
      <c r="M462">
        <f t="shared" si="48"/>
        <v>5918</v>
      </c>
    </row>
    <row r="463" spans="1:13" x14ac:dyDescent="0.3">
      <c r="A463" s="2">
        <f>[1]HHS_Unaccompanied_Alien_Childre!G463</f>
        <v>45629</v>
      </c>
      <c r="B463">
        <f>[2]HHS_Unaccompanied_Alien_Childre!B463</f>
        <v>81</v>
      </c>
      <c r="C463">
        <f>[3]HHS_Unaccompanied_Alien_Childre!C463</f>
        <v>230</v>
      </c>
      <c r="D463">
        <f>[2]HHS_Unaccompanied_Alien_Childre!D463</f>
        <v>242</v>
      </c>
      <c r="E463">
        <f>[2]HHS_Unaccompanied_Alien_Childre!E463</f>
        <v>6192</v>
      </c>
      <c r="F463">
        <f>[3]HHS_Unaccompanied_Alien_Childre!F463</f>
        <v>107</v>
      </c>
      <c r="G463">
        <f t="shared" si="50"/>
        <v>131</v>
      </c>
      <c r="H463" t="str">
        <f t="shared" si="51"/>
        <v>Increase</v>
      </c>
      <c r="I463">
        <f t="shared" si="49"/>
        <v>-161</v>
      </c>
      <c r="J463">
        <f t="shared" si="45"/>
        <v>6192</v>
      </c>
      <c r="K463">
        <f t="shared" si="46"/>
        <v>5664</v>
      </c>
      <c r="L463">
        <f t="shared" si="47"/>
        <v>5966</v>
      </c>
      <c r="M463">
        <f t="shared" si="48"/>
        <v>5862.5</v>
      </c>
    </row>
    <row r="464" spans="1:13" x14ac:dyDescent="0.3">
      <c r="A464" s="2">
        <f>[1]HHS_Unaccompanied_Alien_Childre!G464</f>
        <v>45630</v>
      </c>
      <c r="B464">
        <f>[2]HHS_Unaccompanied_Alien_Childre!B464</f>
        <v>118</v>
      </c>
      <c r="C464">
        <f>[3]HHS_Unaccompanied_Alien_Childre!C464</f>
        <v>245</v>
      </c>
      <c r="D464">
        <f>[2]HHS_Unaccompanied_Alien_Childre!D464</f>
        <v>160</v>
      </c>
      <c r="E464">
        <f>[2]HHS_Unaccompanied_Alien_Childre!E464</f>
        <v>6269</v>
      </c>
      <c r="F464">
        <f>[3]HHS_Unaccompanied_Alien_Childre!F464</f>
        <v>115</v>
      </c>
      <c r="G464">
        <f t="shared" si="50"/>
        <v>77</v>
      </c>
      <c r="H464" t="str">
        <f t="shared" si="51"/>
        <v>Increase</v>
      </c>
      <c r="I464">
        <f t="shared" si="49"/>
        <v>-42</v>
      </c>
      <c r="J464">
        <f t="shared" si="45"/>
        <v>6269</v>
      </c>
      <c r="K464">
        <f t="shared" si="46"/>
        <v>5715</v>
      </c>
      <c r="L464">
        <f t="shared" si="47"/>
        <v>6025</v>
      </c>
      <c r="M464">
        <f t="shared" si="48"/>
        <v>5953.5</v>
      </c>
    </row>
    <row r="465" spans="1:13" x14ac:dyDescent="0.3">
      <c r="A465" s="2">
        <f>[1]HHS_Unaccompanied_Alien_Childre!G465</f>
        <v>45631</v>
      </c>
      <c r="B465">
        <f>[2]HHS_Unaccompanied_Alien_Childre!B465</f>
        <v>218</v>
      </c>
      <c r="C465">
        <f>[3]HHS_Unaccompanied_Alien_Childre!C465</f>
        <v>283</v>
      </c>
      <c r="D465">
        <f>[2]HHS_Unaccompanied_Alien_Childre!D465</f>
        <v>208</v>
      </c>
      <c r="E465">
        <f>[2]HHS_Unaccompanied_Alien_Childre!E465</f>
        <v>6310</v>
      </c>
      <c r="F465">
        <f>[3]HHS_Unaccompanied_Alien_Childre!F465</f>
        <v>150</v>
      </c>
      <c r="G465">
        <f t="shared" si="50"/>
        <v>41</v>
      </c>
      <c r="H465" t="str">
        <f t="shared" si="51"/>
        <v>Increase</v>
      </c>
      <c r="I465">
        <f t="shared" si="49"/>
        <v>10</v>
      </c>
      <c r="J465">
        <f t="shared" ref="J465:J528" si="52">E465</f>
        <v>6310</v>
      </c>
      <c r="K465">
        <f t="shared" ref="K465:K528" si="53">E458</f>
        <v>5826</v>
      </c>
      <c r="L465">
        <f t="shared" ref="L465:L528" si="54">E451</f>
        <v>5816</v>
      </c>
      <c r="M465">
        <f t="shared" ref="M465:M528" si="55">AVERAGE(E458,E464)</f>
        <v>6047.5</v>
      </c>
    </row>
    <row r="466" spans="1:13" x14ac:dyDescent="0.3">
      <c r="A466" s="2">
        <f>[1]HHS_Unaccompanied_Alien_Childre!G466</f>
        <v>45634</v>
      </c>
      <c r="B466">
        <f>[2]HHS_Unaccompanied_Alien_Childre!B466</f>
        <v>132</v>
      </c>
      <c r="C466">
        <f>[3]HHS_Unaccompanied_Alien_Childre!C466</f>
        <v>243</v>
      </c>
      <c r="D466">
        <f>[2]HHS_Unaccompanied_Alien_Childre!D466</f>
        <v>183</v>
      </c>
      <c r="E466">
        <f>[2]HHS_Unaccompanied_Alien_Childre!E466</f>
        <v>6286</v>
      </c>
      <c r="F466">
        <f>[3]HHS_Unaccompanied_Alien_Childre!F466</f>
        <v>172</v>
      </c>
      <c r="G466">
        <f t="shared" si="50"/>
        <v>-24</v>
      </c>
      <c r="H466" t="str">
        <f t="shared" si="51"/>
        <v>Decrease</v>
      </c>
      <c r="I466">
        <f t="shared" si="49"/>
        <v>-51</v>
      </c>
      <c r="J466">
        <f t="shared" si="52"/>
        <v>6286</v>
      </c>
      <c r="K466">
        <f t="shared" si="53"/>
        <v>5862</v>
      </c>
      <c r="L466">
        <f t="shared" si="54"/>
        <v>5819</v>
      </c>
      <c r="M466">
        <f t="shared" si="55"/>
        <v>6086</v>
      </c>
    </row>
    <row r="467" spans="1:13" x14ac:dyDescent="0.3">
      <c r="A467" s="2">
        <f>[1]HHS_Unaccompanied_Alien_Childre!G467</f>
        <v>45635</v>
      </c>
      <c r="B467">
        <f>[2]HHS_Unaccompanied_Alien_Childre!B467</f>
        <v>224</v>
      </c>
      <c r="C467">
        <f>[3]HHS_Unaccompanied_Alien_Childre!C467</f>
        <v>315</v>
      </c>
      <c r="D467">
        <f>[2]HHS_Unaccompanied_Alien_Childre!D467</f>
        <v>152</v>
      </c>
      <c r="E467">
        <f>[2]HHS_Unaccompanied_Alien_Childre!E467</f>
        <v>6268</v>
      </c>
      <c r="F467">
        <f>[3]HHS_Unaccompanied_Alien_Childre!F467</f>
        <v>174</v>
      </c>
      <c r="G467">
        <f t="shared" si="50"/>
        <v>-18</v>
      </c>
      <c r="H467" t="str">
        <f t="shared" si="51"/>
        <v>Decrease</v>
      </c>
      <c r="I467">
        <f t="shared" si="49"/>
        <v>72</v>
      </c>
      <c r="J467">
        <f t="shared" si="52"/>
        <v>6268</v>
      </c>
      <c r="K467">
        <f t="shared" si="53"/>
        <v>5963</v>
      </c>
      <c r="L467">
        <f t="shared" si="54"/>
        <v>5844</v>
      </c>
      <c r="M467">
        <f t="shared" si="55"/>
        <v>6124.5</v>
      </c>
    </row>
    <row r="468" spans="1:13" x14ac:dyDescent="0.3">
      <c r="A468" s="2">
        <f>[1]HHS_Unaccompanied_Alien_Childre!G468</f>
        <v>45636</v>
      </c>
      <c r="B468">
        <f>[2]HHS_Unaccompanied_Alien_Childre!B468</f>
        <v>167</v>
      </c>
      <c r="C468">
        <f>[3]HHS_Unaccompanied_Alien_Childre!C468</f>
        <v>326</v>
      </c>
      <c r="D468">
        <f>[2]HHS_Unaccompanied_Alien_Childre!D468</f>
        <v>213</v>
      </c>
      <c r="E468">
        <f>[2]HHS_Unaccompanied_Alien_Childre!E468</f>
        <v>6310</v>
      </c>
      <c r="F468">
        <f>[3]HHS_Unaccompanied_Alien_Childre!F468</f>
        <v>149</v>
      </c>
      <c r="G468">
        <f t="shared" si="50"/>
        <v>42</v>
      </c>
      <c r="H468" t="str">
        <f t="shared" si="51"/>
        <v>Increase</v>
      </c>
      <c r="I468">
        <f t="shared" si="49"/>
        <v>-46</v>
      </c>
      <c r="J468">
        <f t="shared" si="52"/>
        <v>6310</v>
      </c>
      <c r="K468">
        <f t="shared" si="53"/>
        <v>5986</v>
      </c>
      <c r="L468">
        <f t="shared" si="54"/>
        <v>5879</v>
      </c>
      <c r="M468">
        <f t="shared" si="55"/>
        <v>6127</v>
      </c>
    </row>
    <row r="469" spans="1:13" x14ac:dyDescent="0.3">
      <c r="A469" s="2">
        <f>[1]HHS_Unaccompanied_Alien_Childre!G469</f>
        <v>45637</v>
      </c>
      <c r="B469">
        <f>[2]HHS_Unaccompanied_Alien_Childre!B469</f>
        <v>209</v>
      </c>
      <c r="C469">
        <f>[3]HHS_Unaccompanied_Alien_Childre!C469</f>
        <v>353</v>
      </c>
      <c r="D469">
        <f>[2]HHS_Unaccompanied_Alien_Childre!D469</f>
        <v>232</v>
      </c>
      <c r="E469">
        <f>[2]HHS_Unaccompanied_Alien_Childre!E469</f>
        <v>6402</v>
      </c>
      <c r="F469">
        <f>[3]HHS_Unaccompanied_Alien_Childre!F469</f>
        <v>152</v>
      </c>
      <c r="G469">
        <f t="shared" si="50"/>
        <v>92</v>
      </c>
      <c r="H469" t="str">
        <f t="shared" si="51"/>
        <v>Increase</v>
      </c>
      <c r="I469">
        <f t="shared" si="49"/>
        <v>-23</v>
      </c>
      <c r="J469">
        <f t="shared" si="52"/>
        <v>6402</v>
      </c>
      <c r="K469">
        <f t="shared" si="53"/>
        <v>6061</v>
      </c>
      <c r="L469">
        <f t="shared" si="54"/>
        <v>5850</v>
      </c>
      <c r="M469">
        <f t="shared" si="55"/>
        <v>6185.5</v>
      </c>
    </row>
    <row r="470" spans="1:13" x14ac:dyDescent="0.3">
      <c r="A470" s="2">
        <f>[1]HHS_Unaccompanied_Alien_Childre!G470</f>
        <v>45638</v>
      </c>
      <c r="B470">
        <f>[2]HHS_Unaccompanied_Alien_Childre!B470</f>
        <v>153</v>
      </c>
      <c r="C470">
        <f>[3]HHS_Unaccompanied_Alien_Childre!C470</f>
        <v>253</v>
      </c>
      <c r="D470">
        <f>[2]HHS_Unaccompanied_Alien_Childre!D470</f>
        <v>286</v>
      </c>
      <c r="E470">
        <f>[2]HHS_Unaccompanied_Alien_Childre!E470</f>
        <v>6481</v>
      </c>
      <c r="F470">
        <f>[3]HHS_Unaccompanied_Alien_Childre!F470</f>
        <v>194</v>
      </c>
      <c r="G470">
        <f t="shared" si="50"/>
        <v>79</v>
      </c>
      <c r="H470" t="str">
        <f t="shared" si="51"/>
        <v>Increase</v>
      </c>
      <c r="I470">
        <f t="shared" si="49"/>
        <v>-133</v>
      </c>
      <c r="J470">
        <f t="shared" si="52"/>
        <v>6481</v>
      </c>
      <c r="K470">
        <f t="shared" si="53"/>
        <v>6192</v>
      </c>
      <c r="L470">
        <f t="shared" si="54"/>
        <v>5664</v>
      </c>
      <c r="M470">
        <f t="shared" si="55"/>
        <v>6297</v>
      </c>
    </row>
    <row r="471" spans="1:13" x14ac:dyDescent="0.3">
      <c r="A471" s="2">
        <f>[1]HHS_Unaccompanied_Alien_Childre!G471</f>
        <v>45641</v>
      </c>
      <c r="B471">
        <f>[2]HHS_Unaccompanied_Alien_Childre!B471</f>
        <v>180</v>
      </c>
      <c r="C471">
        <f>[3]HHS_Unaccompanied_Alien_Childre!C471</f>
        <v>337</v>
      </c>
      <c r="D471">
        <f>[2]HHS_Unaccompanied_Alien_Childre!D471</f>
        <v>219</v>
      </c>
      <c r="E471">
        <f>[2]HHS_Unaccompanied_Alien_Childre!E471</f>
        <v>6408</v>
      </c>
      <c r="F471">
        <f>[3]HHS_Unaccompanied_Alien_Childre!F471</f>
        <v>224</v>
      </c>
      <c r="G471">
        <f t="shared" si="50"/>
        <v>-73</v>
      </c>
      <c r="H471" t="str">
        <f t="shared" si="51"/>
        <v>Decrease</v>
      </c>
      <c r="I471">
        <f t="shared" si="49"/>
        <v>-39</v>
      </c>
      <c r="J471">
        <f t="shared" si="52"/>
        <v>6408</v>
      </c>
      <c r="K471">
        <f t="shared" si="53"/>
        <v>6269</v>
      </c>
      <c r="L471">
        <f t="shared" si="54"/>
        <v>5715</v>
      </c>
      <c r="M471">
        <f t="shared" si="55"/>
        <v>6375</v>
      </c>
    </row>
    <row r="472" spans="1:13" x14ac:dyDescent="0.3">
      <c r="A472" s="2">
        <f>[1]HHS_Unaccompanied_Alien_Childre!G472</f>
        <v>45642</v>
      </c>
      <c r="B472">
        <f>[2]HHS_Unaccompanied_Alien_Childre!B472</f>
        <v>133</v>
      </c>
      <c r="C472">
        <f>[3]HHS_Unaccompanied_Alien_Childre!C472</f>
        <v>287</v>
      </c>
      <c r="D472">
        <f>[2]HHS_Unaccompanied_Alien_Childre!D472</f>
        <v>189</v>
      </c>
      <c r="E472">
        <f>[2]HHS_Unaccompanied_Alien_Childre!E472</f>
        <v>6454</v>
      </c>
      <c r="F472">
        <f>[3]HHS_Unaccompanied_Alien_Childre!F472</f>
        <v>149</v>
      </c>
      <c r="G472">
        <f t="shared" si="50"/>
        <v>46</v>
      </c>
      <c r="H472" t="str">
        <f t="shared" si="51"/>
        <v>Increase</v>
      </c>
      <c r="I472">
        <f t="shared" si="49"/>
        <v>-56</v>
      </c>
      <c r="J472">
        <f t="shared" si="52"/>
        <v>6454</v>
      </c>
      <c r="K472">
        <f t="shared" si="53"/>
        <v>6310</v>
      </c>
      <c r="L472">
        <f t="shared" si="54"/>
        <v>5826</v>
      </c>
      <c r="M472">
        <f t="shared" si="55"/>
        <v>6359</v>
      </c>
    </row>
    <row r="473" spans="1:13" x14ac:dyDescent="0.3">
      <c r="A473" s="2">
        <f>[1]HHS_Unaccompanied_Alien_Childre!G473</f>
        <v>45643</v>
      </c>
      <c r="B473">
        <f>[2]HHS_Unaccompanied_Alien_Childre!B473</f>
        <v>187</v>
      </c>
      <c r="C473">
        <f>[3]HHS_Unaccompanied_Alien_Childre!C473</f>
        <v>310</v>
      </c>
      <c r="D473">
        <f>[2]HHS_Unaccompanied_Alien_Childre!D473</f>
        <v>247</v>
      </c>
      <c r="E473">
        <f>[2]HHS_Unaccompanied_Alien_Childre!E473</f>
        <v>6506</v>
      </c>
      <c r="F473">
        <f>[3]HHS_Unaccompanied_Alien_Childre!F473</f>
        <v>151</v>
      </c>
      <c r="G473">
        <f t="shared" si="50"/>
        <v>52</v>
      </c>
      <c r="H473" t="str">
        <f t="shared" si="51"/>
        <v>Increase</v>
      </c>
      <c r="I473">
        <f t="shared" si="49"/>
        <v>-60</v>
      </c>
      <c r="J473">
        <f t="shared" si="52"/>
        <v>6506</v>
      </c>
      <c r="K473">
        <f t="shared" si="53"/>
        <v>6286</v>
      </c>
      <c r="L473">
        <f t="shared" si="54"/>
        <v>5862</v>
      </c>
      <c r="M473">
        <f t="shared" si="55"/>
        <v>6370</v>
      </c>
    </row>
    <row r="474" spans="1:13" x14ac:dyDescent="0.3">
      <c r="A474" s="2">
        <f>[1]HHS_Unaccompanied_Alien_Childre!G474</f>
        <v>45644</v>
      </c>
      <c r="B474">
        <f>[2]HHS_Unaccompanied_Alien_Childre!B474</f>
        <v>168</v>
      </c>
      <c r="C474">
        <f>[3]HHS_Unaccompanied_Alien_Childre!C474</f>
        <v>285</v>
      </c>
      <c r="D474">
        <f>[2]HHS_Unaccompanied_Alien_Childre!D474</f>
        <v>210</v>
      </c>
      <c r="E474">
        <f>[2]HHS_Unaccompanied_Alien_Childre!E474</f>
        <v>6598</v>
      </c>
      <c r="F474">
        <f>[3]HHS_Unaccompanied_Alien_Childre!F474</f>
        <v>134</v>
      </c>
      <c r="G474">
        <f t="shared" si="50"/>
        <v>92</v>
      </c>
      <c r="H474" t="str">
        <f t="shared" si="51"/>
        <v>Increase</v>
      </c>
      <c r="I474">
        <f t="shared" si="49"/>
        <v>-42</v>
      </c>
      <c r="J474">
        <f t="shared" si="52"/>
        <v>6598</v>
      </c>
      <c r="K474">
        <f t="shared" si="53"/>
        <v>6268</v>
      </c>
      <c r="L474">
        <f t="shared" si="54"/>
        <v>5963</v>
      </c>
      <c r="M474">
        <f t="shared" si="55"/>
        <v>6387</v>
      </c>
    </row>
    <row r="475" spans="1:13" x14ac:dyDescent="0.3">
      <c r="A475" s="2">
        <f>[1]HHS_Unaccompanied_Alien_Childre!G475</f>
        <v>45645</v>
      </c>
      <c r="B475">
        <f>[2]HHS_Unaccompanied_Alien_Childre!B475</f>
        <v>269</v>
      </c>
      <c r="C475">
        <f>[3]HHS_Unaccompanied_Alien_Childre!C475</f>
        <v>412</v>
      </c>
      <c r="D475">
        <f>[2]HHS_Unaccompanied_Alien_Childre!D475</f>
        <v>204</v>
      </c>
      <c r="E475">
        <f>[2]HHS_Unaccompanied_Alien_Childre!E475</f>
        <v>6600</v>
      </c>
      <c r="F475">
        <f>[3]HHS_Unaccompanied_Alien_Childre!F475</f>
        <v>238</v>
      </c>
      <c r="G475">
        <f t="shared" si="50"/>
        <v>2</v>
      </c>
      <c r="H475" t="str">
        <f t="shared" si="51"/>
        <v>Increase</v>
      </c>
      <c r="I475">
        <f t="shared" si="49"/>
        <v>65</v>
      </c>
      <c r="J475">
        <f t="shared" si="52"/>
        <v>6600</v>
      </c>
      <c r="K475">
        <f t="shared" si="53"/>
        <v>6310</v>
      </c>
      <c r="L475">
        <f t="shared" si="54"/>
        <v>5986</v>
      </c>
      <c r="M475">
        <f t="shared" si="55"/>
        <v>6454</v>
      </c>
    </row>
    <row r="476" spans="1:13" x14ac:dyDescent="0.3">
      <c r="A476" s="2">
        <f>[1]HHS_Unaccompanied_Alien_Childre!G476</f>
        <v>45648</v>
      </c>
      <c r="B476">
        <f>[2]HHS_Unaccompanied_Alien_Childre!B476</f>
        <v>100</v>
      </c>
      <c r="C476">
        <f>[3]HHS_Unaccompanied_Alien_Childre!C476</f>
        <v>255</v>
      </c>
      <c r="D476">
        <f>[2]HHS_Unaccompanied_Alien_Childre!D476</f>
        <v>236</v>
      </c>
      <c r="E476">
        <f>[2]HHS_Unaccompanied_Alien_Childre!E476</f>
        <v>6595</v>
      </c>
      <c r="F476">
        <f>[3]HHS_Unaccompanied_Alien_Childre!F476</f>
        <v>268</v>
      </c>
      <c r="G476">
        <f t="shared" si="50"/>
        <v>-5</v>
      </c>
      <c r="H476" t="str">
        <f t="shared" si="51"/>
        <v>Decrease</v>
      </c>
      <c r="I476">
        <f t="shared" si="49"/>
        <v>-136</v>
      </c>
      <c r="J476">
        <f t="shared" si="52"/>
        <v>6595</v>
      </c>
      <c r="K476">
        <f t="shared" si="53"/>
        <v>6402</v>
      </c>
      <c r="L476">
        <f t="shared" si="54"/>
        <v>6061</v>
      </c>
      <c r="M476">
        <f t="shared" si="55"/>
        <v>6501</v>
      </c>
    </row>
    <row r="477" spans="1:13" x14ac:dyDescent="0.3">
      <c r="A477" s="2">
        <f>[1]HHS_Unaccompanied_Alien_Childre!G477</f>
        <v>45649</v>
      </c>
      <c r="B477">
        <f>[2]HHS_Unaccompanied_Alien_Childre!B477</f>
        <v>205</v>
      </c>
      <c r="C477">
        <f>[3]HHS_Unaccompanied_Alien_Childre!C477</f>
        <v>294</v>
      </c>
      <c r="D477">
        <f>[2]HHS_Unaccompanied_Alien_Childre!D477</f>
        <v>177</v>
      </c>
      <c r="E477">
        <f>[2]HHS_Unaccompanied_Alien_Childre!E477</f>
        <v>6548</v>
      </c>
      <c r="F477">
        <f>[3]HHS_Unaccompanied_Alien_Childre!F477</f>
        <v>231</v>
      </c>
      <c r="G477">
        <f t="shared" si="50"/>
        <v>-47</v>
      </c>
      <c r="H477" t="str">
        <f t="shared" si="51"/>
        <v>Decrease</v>
      </c>
      <c r="I477">
        <f t="shared" si="49"/>
        <v>28</v>
      </c>
      <c r="J477">
        <f t="shared" si="52"/>
        <v>6548</v>
      </c>
      <c r="K477">
        <f t="shared" si="53"/>
        <v>6481</v>
      </c>
      <c r="L477">
        <f t="shared" si="54"/>
        <v>6192</v>
      </c>
      <c r="M477">
        <f t="shared" si="55"/>
        <v>6538</v>
      </c>
    </row>
    <row r="478" spans="1:13" x14ac:dyDescent="0.3">
      <c r="A478" s="2">
        <f>[1]HHS_Unaccompanied_Alien_Childre!G478</f>
        <v>45650</v>
      </c>
      <c r="B478">
        <f>[2]HHS_Unaccompanied_Alien_Childre!B478</f>
        <v>161</v>
      </c>
      <c r="C478">
        <f>[3]HHS_Unaccompanied_Alien_Childre!C478</f>
        <v>304</v>
      </c>
      <c r="D478">
        <f>[2]HHS_Unaccompanied_Alien_Childre!D478</f>
        <v>211</v>
      </c>
      <c r="E478">
        <f>[2]HHS_Unaccompanied_Alien_Childre!E478</f>
        <v>6622</v>
      </c>
      <c r="F478">
        <f>[3]HHS_Unaccompanied_Alien_Childre!F478</f>
        <v>155</v>
      </c>
      <c r="G478">
        <f t="shared" si="50"/>
        <v>74</v>
      </c>
      <c r="H478" t="str">
        <f t="shared" si="51"/>
        <v>Increase</v>
      </c>
      <c r="I478">
        <f t="shared" si="49"/>
        <v>-50</v>
      </c>
      <c r="J478">
        <f t="shared" si="52"/>
        <v>6622</v>
      </c>
      <c r="K478">
        <f t="shared" si="53"/>
        <v>6408</v>
      </c>
      <c r="L478">
        <f t="shared" si="54"/>
        <v>6269</v>
      </c>
      <c r="M478">
        <f t="shared" si="55"/>
        <v>6478</v>
      </c>
    </row>
    <row r="479" spans="1:13" x14ac:dyDescent="0.3">
      <c r="A479" s="2">
        <f>[1]HHS_Unaccompanied_Alien_Childre!G479</f>
        <v>45651</v>
      </c>
      <c r="B479">
        <f>[2]HHS_Unaccompanied_Alien_Childre!B479</f>
        <v>57</v>
      </c>
      <c r="C479">
        <f>[3]HHS_Unaccompanied_Alien_Childre!C479</f>
        <v>162</v>
      </c>
      <c r="D479">
        <f>[2]HHS_Unaccompanied_Alien_Childre!D479</f>
        <v>193</v>
      </c>
      <c r="E479">
        <f>[2]HHS_Unaccompanied_Alien_Childre!E479</f>
        <v>6689</v>
      </c>
      <c r="F479">
        <f>[3]HHS_Unaccompanied_Alien_Childre!F479</f>
        <v>107</v>
      </c>
      <c r="G479">
        <f t="shared" si="50"/>
        <v>67</v>
      </c>
      <c r="H479" t="str">
        <f t="shared" si="51"/>
        <v>Increase</v>
      </c>
      <c r="I479">
        <f t="shared" si="49"/>
        <v>-136</v>
      </c>
      <c r="J479">
        <f t="shared" si="52"/>
        <v>6689</v>
      </c>
      <c r="K479">
        <f t="shared" si="53"/>
        <v>6454</v>
      </c>
      <c r="L479">
        <f t="shared" si="54"/>
        <v>6310</v>
      </c>
      <c r="M479">
        <f t="shared" si="55"/>
        <v>6538</v>
      </c>
    </row>
    <row r="480" spans="1:13" x14ac:dyDescent="0.3">
      <c r="A480" s="2">
        <f>[1]HHS_Unaccompanied_Alien_Childre!G480</f>
        <v>45652</v>
      </c>
      <c r="B480">
        <f>[2]HHS_Unaccompanied_Alien_Childre!B480</f>
        <v>80</v>
      </c>
      <c r="C480">
        <f>[3]HHS_Unaccompanied_Alien_Childre!C480</f>
        <v>122</v>
      </c>
      <c r="D480">
        <f>[2]HHS_Unaccompanied_Alien_Childre!D480</f>
        <v>152</v>
      </c>
      <c r="E480">
        <f>[2]HHS_Unaccompanied_Alien_Childre!E480</f>
        <v>6707</v>
      </c>
      <c r="F480">
        <f>[3]HHS_Unaccompanied_Alien_Childre!F480</f>
        <v>135</v>
      </c>
      <c r="G480">
        <f t="shared" si="50"/>
        <v>18</v>
      </c>
      <c r="H480" t="str">
        <f t="shared" si="51"/>
        <v>Increase</v>
      </c>
      <c r="I480">
        <f t="shared" si="49"/>
        <v>-72</v>
      </c>
      <c r="J480">
        <f t="shared" si="52"/>
        <v>6707</v>
      </c>
      <c r="K480">
        <f t="shared" si="53"/>
        <v>6506</v>
      </c>
      <c r="L480">
        <f t="shared" si="54"/>
        <v>6286</v>
      </c>
      <c r="M480">
        <f t="shared" si="55"/>
        <v>6597.5</v>
      </c>
    </row>
    <row r="481" spans="1:13" x14ac:dyDescent="0.3">
      <c r="A481" s="2">
        <f>[1]HHS_Unaccompanied_Alien_Childre!G481</f>
        <v>45655</v>
      </c>
      <c r="B481">
        <f>[2]HHS_Unaccompanied_Alien_Childre!B481</f>
        <v>107</v>
      </c>
      <c r="C481">
        <f>[3]HHS_Unaccompanied_Alien_Childre!C481</f>
        <v>170</v>
      </c>
      <c r="D481">
        <f>[2]HHS_Unaccompanied_Alien_Childre!D481</f>
        <v>133</v>
      </c>
      <c r="E481">
        <f>[2]HHS_Unaccompanied_Alien_Childre!E481</f>
        <v>6465</v>
      </c>
      <c r="F481">
        <f>[3]HHS_Unaccompanied_Alien_Childre!F481</f>
        <v>216</v>
      </c>
      <c r="G481">
        <f t="shared" si="50"/>
        <v>-242</v>
      </c>
      <c r="H481" t="str">
        <f t="shared" si="51"/>
        <v>Decrease</v>
      </c>
      <c r="I481">
        <f t="shared" si="49"/>
        <v>-26</v>
      </c>
      <c r="J481">
        <f t="shared" si="52"/>
        <v>6465</v>
      </c>
      <c r="K481">
        <f t="shared" si="53"/>
        <v>6598</v>
      </c>
      <c r="L481">
        <f t="shared" si="54"/>
        <v>6268</v>
      </c>
      <c r="M481">
        <f t="shared" si="55"/>
        <v>6652.5</v>
      </c>
    </row>
    <row r="482" spans="1:13" x14ac:dyDescent="0.3">
      <c r="A482" s="2">
        <f>[1]HHS_Unaccompanied_Alien_Childre!G482</f>
        <v>45656</v>
      </c>
      <c r="B482">
        <f>[2]HHS_Unaccompanied_Alien_Childre!B482</f>
        <v>99</v>
      </c>
      <c r="C482">
        <f>[3]HHS_Unaccompanied_Alien_Childre!C482</f>
        <v>156</v>
      </c>
      <c r="D482">
        <f>[2]HHS_Unaccompanied_Alien_Childre!D482</f>
        <v>139</v>
      </c>
      <c r="E482">
        <f>[2]HHS_Unaccompanied_Alien_Childre!E482</f>
        <v>6454</v>
      </c>
      <c r="F482">
        <f>[3]HHS_Unaccompanied_Alien_Childre!F482</f>
        <v>177</v>
      </c>
      <c r="G482">
        <f t="shared" si="50"/>
        <v>-11</v>
      </c>
      <c r="H482" t="str">
        <f t="shared" si="51"/>
        <v>Decrease</v>
      </c>
      <c r="I482">
        <f t="shared" si="49"/>
        <v>-40</v>
      </c>
      <c r="J482">
        <f t="shared" si="52"/>
        <v>6454</v>
      </c>
      <c r="K482">
        <f t="shared" si="53"/>
        <v>6600</v>
      </c>
      <c r="L482">
        <f t="shared" si="54"/>
        <v>6310</v>
      </c>
      <c r="M482">
        <f t="shared" si="55"/>
        <v>6532.5</v>
      </c>
    </row>
    <row r="483" spans="1:13" x14ac:dyDescent="0.3">
      <c r="A483" s="2">
        <f>[1]HHS_Unaccompanied_Alien_Childre!G483</f>
        <v>45658</v>
      </c>
      <c r="B483">
        <f>[2]HHS_Unaccompanied_Alien_Childre!B483</f>
        <v>25</v>
      </c>
      <c r="C483">
        <f>[3]HHS_Unaccompanied_Alien_Childre!C483</f>
        <v>66</v>
      </c>
      <c r="D483">
        <f>[2]HHS_Unaccompanied_Alien_Childre!D483</f>
        <v>94</v>
      </c>
      <c r="E483">
        <f>[2]HHS_Unaccompanied_Alien_Childre!E483</f>
        <v>6405</v>
      </c>
      <c r="F483">
        <f>[3]HHS_Unaccompanied_Alien_Childre!F483</f>
        <v>144</v>
      </c>
      <c r="G483">
        <f t="shared" si="50"/>
        <v>-49</v>
      </c>
      <c r="H483" t="str">
        <f t="shared" si="51"/>
        <v>Decrease</v>
      </c>
      <c r="I483">
        <f t="shared" si="49"/>
        <v>-69</v>
      </c>
      <c r="J483">
        <f t="shared" si="52"/>
        <v>6405</v>
      </c>
      <c r="K483">
        <f t="shared" si="53"/>
        <v>6595</v>
      </c>
      <c r="L483">
        <f t="shared" si="54"/>
        <v>6402</v>
      </c>
      <c r="M483">
        <f t="shared" si="55"/>
        <v>6524.5</v>
      </c>
    </row>
    <row r="484" spans="1:13" x14ac:dyDescent="0.3">
      <c r="A484" s="2">
        <f>[1]HHS_Unaccompanied_Alien_Childre!G484</f>
        <v>45659</v>
      </c>
      <c r="B484">
        <f>[2]HHS_Unaccompanied_Alien_Childre!B484</f>
        <v>35</v>
      </c>
      <c r="C484">
        <f>[3]HHS_Unaccompanied_Alien_Childre!C484</f>
        <v>70</v>
      </c>
      <c r="D484">
        <f>[2]HHS_Unaccompanied_Alien_Childre!D484</f>
        <v>53</v>
      </c>
      <c r="E484">
        <f>[2]HHS_Unaccompanied_Alien_Childre!E484</f>
        <v>6292</v>
      </c>
      <c r="F484">
        <f>[3]HHS_Unaccompanied_Alien_Childre!F484</f>
        <v>170</v>
      </c>
      <c r="G484">
        <f t="shared" si="50"/>
        <v>-113</v>
      </c>
      <c r="H484" t="str">
        <f t="shared" si="51"/>
        <v>Decrease</v>
      </c>
      <c r="I484">
        <f t="shared" si="49"/>
        <v>-18</v>
      </c>
      <c r="J484">
        <f t="shared" si="52"/>
        <v>6292</v>
      </c>
      <c r="K484">
        <f t="shared" si="53"/>
        <v>6548</v>
      </c>
      <c r="L484">
        <f t="shared" si="54"/>
        <v>6481</v>
      </c>
      <c r="M484">
        <f t="shared" si="55"/>
        <v>6476.5</v>
      </c>
    </row>
    <row r="485" spans="1:13" x14ac:dyDescent="0.3">
      <c r="A485" s="2">
        <f>[1]HHS_Unaccompanied_Alien_Childre!G485</f>
        <v>45662</v>
      </c>
      <c r="B485">
        <f>[2]HHS_Unaccompanied_Alien_Childre!B485</f>
        <v>43</v>
      </c>
      <c r="C485">
        <f>[3]HHS_Unaccompanied_Alien_Childre!C485</f>
        <v>73</v>
      </c>
      <c r="D485">
        <f>[2]HHS_Unaccompanied_Alien_Childre!D485</f>
        <v>64</v>
      </c>
      <c r="E485">
        <f>[2]HHS_Unaccompanied_Alien_Childre!E485</f>
        <v>5882</v>
      </c>
      <c r="F485">
        <f>[3]HHS_Unaccompanied_Alien_Childre!F485</f>
        <v>185</v>
      </c>
      <c r="G485">
        <f t="shared" si="50"/>
        <v>-410</v>
      </c>
      <c r="H485" t="str">
        <f t="shared" si="51"/>
        <v>Decrease</v>
      </c>
      <c r="I485">
        <f t="shared" si="49"/>
        <v>-21</v>
      </c>
      <c r="J485">
        <f t="shared" si="52"/>
        <v>5882</v>
      </c>
      <c r="K485">
        <f t="shared" si="53"/>
        <v>6622</v>
      </c>
      <c r="L485">
        <f t="shared" si="54"/>
        <v>6408</v>
      </c>
      <c r="M485">
        <f t="shared" si="55"/>
        <v>6457</v>
      </c>
    </row>
    <row r="486" spans="1:13" x14ac:dyDescent="0.3">
      <c r="A486" s="2">
        <f>[1]HHS_Unaccompanied_Alien_Childre!G486</f>
        <v>45663</v>
      </c>
      <c r="B486">
        <f>[2]HHS_Unaccompanied_Alien_Childre!B486</f>
        <v>41</v>
      </c>
      <c r="C486">
        <f>[3]HHS_Unaccompanied_Alien_Childre!C486</f>
        <v>60</v>
      </c>
      <c r="D486">
        <f>[2]HHS_Unaccompanied_Alien_Childre!D486</f>
        <v>71</v>
      </c>
      <c r="E486">
        <f>[2]HHS_Unaccompanied_Alien_Childre!E486</f>
        <v>5769</v>
      </c>
      <c r="F486">
        <f>[3]HHS_Unaccompanied_Alien_Childre!F486</f>
        <v>190</v>
      </c>
      <c r="G486">
        <f t="shared" si="50"/>
        <v>-113</v>
      </c>
      <c r="H486" t="str">
        <f t="shared" si="51"/>
        <v>Decrease</v>
      </c>
      <c r="I486">
        <f t="shared" si="49"/>
        <v>-30</v>
      </c>
      <c r="J486">
        <f t="shared" si="52"/>
        <v>5769</v>
      </c>
      <c r="K486">
        <f t="shared" si="53"/>
        <v>6689</v>
      </c>
      <c r="L486">
        <f t="shared" si="54"/>
        <v>6454</v>
      </c>
      <c r="M486">
        <f t="shared" si="55"/>
        <v>6285.5</v>
      </c>
    </row>
    <row r="487" spans="1:13" x14ac:dyDescent="0.3">
      <c r="A487" s="2">
        <f>[1]HHS_Unaccompanied_Alien_Childre!G487</f>
        <v>45664</v>
      </c>
      <c r="B487">
        <f>[2]HHS_Unaccompanied_Alien_Childre!B487</f>
        <v>65</v>
      </c>
      <c r="C487">
        <f>[3]HHS_Unaccompanied_Alien_Childre!C487</f>
        <v>83</v>
      </c>
      <c r="D487">
        <f>[2]HHS_Unaccompanied_Alien_Childre!D487</f>
        <v>65</v>
      </c>
      <c r="E487">
        <f>[2]HHS_Unaccompanied_Alien_Childre!E487</f>
        <v>5703</v>
      </c>
      <c r="F487">
        <f>[3]HHS_Unaccompanied_Alien_Childre!F487</f>
        <v>133</v>
      </c>
      <c r="G487">
        <f t="shared" si="50"/>
        <v>-66</v>
      </c>
      <c r="H487" t="str">
        <f t="shared" si="51"/>
        <v>Decrease</v>
      </c>
      <c r="I487">
        <f t="shared" si="49"/>
        <v>0</v>
      </c>
      <c r="J487">
        <f t="shared" si="52"/>
        <v>5703</v>
      </c>
      <c r="K487">
        <f t="shared" si="53"/>
        <v>6707</v>
      </c>
      <c r="L487">
        <f t="shared" si="54"/>
        <v>6506</v>
      </c>
      <c r="M487">
        <f t="shared" si="55"/>
        <v>6238</v>
      </c>
    </row>
    <row r="488" spans="1:13" x14ac:dyDescent="0.3">
      <c r="A488" s="2">
        <f>[1]HHS_Unaccompanied_Alien_Childre!G488</f>
        <v>45665</v>
      </c>
      <c r="B488">
        <f>[2]HHS_Unaccompanied_Alien_Childre!B488</f>
        <v>38</v>
      </c>
      <c r="C488">
        <f>[3]HHS_Unaccompanied_Alien_Childre!C488</f>
        <v>80</v>
      </c>
      <c r="D488">
        <f>[2]HHS_Unaccompanied_Alien_Childre!D488</f>
        <v>82</v>
      </c>
      <c r="E488">
        <f>[2]HHS_Unaccompanied_Alien_Childre!E488</f>
        <v>5605</v>
      </c>
      <c r="F488">
        <f>[3]HHS_Unaccompanied_Alien_Childre!F488</f>
        <v>184</v>
      </c>
      <c r="G488">
        <f t="shared" si="50"/>
        <v>-98</v>
      </c>
      <c r="H488" t="str">
        <f t="shared" si="51"/>
        <v>Decrease</v>
      </c>
      <c r="I488">
        <f t="shared" si="49"/>
        <v>-44</v>
      </c>
      <c r="J488">
        <f t="shared" si="52"/>
        <v>5605</v>
      </c>
      <c r="K488">
        <f t="shared" si="53"/>
        <v>6465</v>
      </c>
      <c r="L488">
        <f t="shared" si="54"/>
        <v>6598</v>
      </c>
      <c r="M488">
        <f t="shared" si="55"/>
        <v>6084</v>
      </c>
    </row>
    <row r="489" spans="1:13" x14ac:dyDescent="0.3">
      <c r="A489" s="2">
        <f>[1]HHS_Unaccompanied_Alien_Childre!G489</f>
        <v>45666</v>
      </c>
      <c r="B489">
        <f>[2]HHS_Unaccompanied_Alien_Childre!B489</f>
        <v>56</v>
      </c>
      <c r="C489">
        <f>[3]HHS_Unaccompanied_Alien_Childre!C489</f>
        <v>82</v>
      </c>
      <c r="D489">
        <f>[2]HHS_Unaccompanied_Alien_Childre!D489</f>
        <v>68</v>
      </c>
      <c r="E489">
        <f>[2]HHS_Unaccompanied_Alien_Childre!E489</f>
        <v>5507</v>
      </c>
      <c r="F489">
        <f>[3]HHS_Unaccompanied_Alien_Childre!F489</f>
        <v>164</v>
      </c>
      <c r="G489">
        <f t="shared" si="50"/>
        <v>-98</v>
      </c>
      <c r="H489" t="str">
        <f t="shared" si="51"/>
        <v>Decrease</v>
      </c>
      <c r="I489">
        <f t="shared" si="49"/>
        <v>-12</v>
      </c>
      <c r="J489">
        <f t="shared" si="52"/>
        <v>5507</v>
      </c>
      <c r="K489">
        <f t="shared" si="53"/>
        <v>6454</v>
      </c>
      <c r="L489">
        <f t="shared" si="54"/>
        <v>6600</v>
      </c>
      <c r="M489">
        <f t="shared" si="55"/>
        <v>6029.5</v>
      </c>
    </row>
    <row r="490" spans="1:13" x14ac:dyDescent="0.3">
      <c r="A490" s="2">
        <f>[1]HHS_Unaccompanied_Alien_Childre!G490</f>
        <v>45669</v>
      </c>
      <c r="B490">
        <f>[2]HHS_Unaccompanied_Alien_Childre!B490</f>
        <v>74</v>
      </c>
      <c r="C490">
        <f>[3]HHS_Unaccompanied_Alien_Childre!C490</f>
        <v>103</v>
      </c>
      <c r="D490">
        <f>[2]HHS_Unaccompanied_Alien_Childre!D490</f>
        <v>80</v>
      </c>
      <c r="E490">
        <f>[2]HHS_Unaccompanied_Alien_Childre!E490</f>
        <v>5092</v>
      </c>
      <c r="F490">
        <f>[3]HHS_Unaccompanied_Alien_Childre!F490</f>
        <v>235</v>
      </c>
      <c r="G490">
        <f t="shared" si="50"/>
        <v>-415</v>
      </c>
      <c r="H490" t="str">
        <f t="shared" si="51"/>
        <v>Decrease</v>
      </c>
      <c r="I490">
        <f t="shared" si="49"/>
        <v>-6</v>
      </c>
      <c r="J490">
        <f t="shared" si="52"/>
        <v>5092</v>
      </c>
      <c r="K490">
        <f t="shared" si="53"/>
        <v>6405</v>
      </c>
      <c r="L490">
        <f t="shared" si="54"/>
        <v>6595</v>
      </c>
      <c r="M490">
        <f t="shared" si="55"/>
        <v>5956</v>
      </c>
    </row>
    <row r="491" spans="1:13" x14ac:dyDescent="0.3">
      <c r="A491" s="2">
        <f>[1]HHS_Unaccompanied_Alien_Childre!G491</f>
        <v>45670</v>
      </c>
      <c r="B491">
        <f>[2]HHS_Unaccompanied_Alien_Childre!B491</f>
        <v>68</v>
      </c>
      <c r="C491">
        <f>[3]HHS_Unaccompanied_Alien_Childre!C491</f>
        <v>107</v>
      </c>
      <c r="D491">
        <f>[2]HHS_Unaccompanied_Alien_Childre!D491</f>
        <v>102</v>
      </c>
      <c r="E491">
        <f>[2]HHS_Unaccompanied_Alien_Childre!E491</f>
        <v>5019</v>
      </c>
      <c r="F491">
        <f>[3]HHS_Unaccompanied_Alien_Childre!F491</f>
        <v>181</v>
      </c>
      <c r="G491">
        <f t="shared" si="50"/>
        <v>-73</v>
      </c>
      <c r="H491" t="str">
        <f t="shared" si="51"/>
        <v>Decrease</v>
      </c>
      <c r="I491">
        <f t="shared" si="49"/>
        <v>-34</v>
      </c>
      <c r="J491">
        <f t="shared" si="52"/>
        <v>5019</v>
      </c>
      <c r="K491">
        <f t="shared" si="53"/>
        <v>6292</v>
      </c>
      <c r="L491">
        <f t="shared" si="54"/>
        <v>6548</v>
      </c>
      <c r="M491">
        <f t="shared" si="55"/>
        <v>5692</v>
      </c>
    </row>
    <row r="492" spans="1:13" x14ac:dyDescent="0.3">
      <c r="A492" s="2">
        <f>[1]HHS_Unaccompanied_Alien_Childre!G492</f>
        <v>45671</v>
      </c>
      <c r="B492">
        <f>[2]HHS_Unaccompanied_Alien_Childre!B492</f>
        <v>92</v>
      </c>
      <c r="C492">
        <f>[3]HHS_Unaccompanied_Alien_Childre!C492</f>
        <v>124</v>
      </c>
      <c r="D492">
        <f>[2]HHS_Unaccompanied_Alien_Childre!D492</f>
        <v>93</v>
      </c>
      <c r="E492">
        <f>[2]HHS_Unaccompanied_Alien_Childre!E492</f>
        <v>4957</v>
      </c>
      <c r="F492">
        <f>[3]HHS_Unaccompanied_Alien_Childre!F492</f>
        <v>139</v>
      </c>
      <c r="G492">
        <f t="shared" si="50"/>
        <v>-62</v>
      </c>
      <c r="H492" t="str">
        <f t="shared" si="51"/>
        <v>Decrease</v>
      </c>
      <c r="I492">
        <f t="shared" si="49"/>
        <v>-1</v>
      </c>
      <c r="J492">
        <f t="shared" si="52"/>
        <v>4957</v>
      </c>
      <c r="K492">
        <f t="shared" si="53"/>
        <v>5882</v>
      </c>
      <c r="L492">
        <f t="shared" si="54"/>
        <v>6622</v>
      </c>
      <c r="M492">
        <f t="shared" si="55"/>
        <v>5450.5</v>
      </c>
    </row>
    <row r="493" spans="1:13" x14ac:dyDescent="0.3">
      <c r="A493" s="2">
        <f>[1]HHS_Unaccompanied_Alien_Childre!G493</f>
        <v>45672</v>
      </c>
      <c r="B493">
        <f>[2]HHS_Unaccompanied_Alien_Childre!B493</f>
        <v>113</v>
      </c>
      <c r="C493">
        <f>[3]HHS_Unaccompanied_Alien_Childre!C493</f>
        <v>162</v>
      </c>
      <c r="D493">
        <f>[2]HHS_Unaccompanied_Alien_Childre!D493</f>
        <v>107</v>
      </c>
      <c r="E493">
        <f>[2]HHS_Unaccompanied_Alien_Childre!E493</f>
        <v>4903</v>
      </c>
      <c r="F493">
        <f>[3]HHS_Unaccompanied_Alien_Childre!F493</f>
        <v>164</v>
      </c>
      <c r="G493">
        <f t="shared" si="50"/>
        <v>-54</v>
      </c>
      <c r="H493" t="str">
        <f t="shared" si="51"/>
        <v>Decrease</v>
      </c>
      <c r="I493">
        <f t="shared" si="49"/>
        <v>6</v>
      </c>
      <c r="J493">
        <f t="shared" si="52"/>
        <v>4903</v>
      </c>
      <c r="K493">
        <f t="shared" si="53"/>
        <v>5769</v>
      </c>
      <c r="L493">
        <f t="shared" si="54"/>
        <v>6689</v>
      </c>
      <c r="M493">
        <f t="shared" si="55"/>
        <v>5363</v>
      </c>
    </row>
    <row r="494" spans="1:13" x14ac:dyDescent="0.3">
      <c r="A494" s="2">
        <f>[1]HHS_Unaccompanied_Alien_Childre!G494</f>
        <v>45673</v>
      </c>
      <c r="B494">
        <f>[2]HHS_Unaccompanied_Alien_Childre!B494</f>
        <v>106</v>
      </c>
      <c r="C494">
        <f>[3]HHS_Unaccompanied_Alien_Childre!C494</f>
        <v>196</v>
      </c>
      <c r="D494">
        <f>[2]HHS_Unaccompanied_Alien_Childre!D494</f>
        <v>131</v>
      </c>
      <c r="E494">
        <f>[2]HHS_Unaccompanied_Alien_Childre!E494</f>
        <v>4881</v>
      </c>
      <c r="F494">
        <f>[3]HHS_Unaccompanied_Alien_Childre!F494</f>
        <v>159</v>
      </c>
      <c r="G494">
        <f t="shared" si="50"/>
        <v>-22</v>
      </c>
      <c r="H494" t="str">
        <f t="shared" si="51"/>
        <v>Decrease</v>
      </c>
      <c r="I494">
        <f t="shared" si="49"/>
        <v>-25</v>
      </c>
      <c r="J494">
        <f t="shared" si="52"/>
        <v>4881</v>
      </c>
      <c r="K494">
        <f t="shared" si="53"/>
        <v>5703</v>
      </c>
      <c r="L494">
        <f t="shared" si="54"/>
        <v>6707</v>
      </c>
      <c r="M494">
        <f t="shared" si="55"/>
        <v>5303</v>
      </c>
    </row>
    <row r="495" spans="1:13" x14ac:dyDescent="0.3">
      <c r="A495" s="2">
        <f>[1]HHS_Unaccompanied_Alien_Childre!G495</f>
        <v>45676</v>
      </c>
      <c r="B495">
        <f>[2]HHS_Unaccompanied_Alien_Childre!B495</f>
        <v>86</v>
      </c>
      <c r="C495">
        <f>[3]HHS_Unaccompanied_Alien_Childre!C495</f>
        <v>152</v>
      </c>
      <c r="D495">
        <f>[2]HHS_Unaccompanied_Alien_Childre!D495</f>
        <v>168</v>
      </c>
      <c r="E495">
        <f>[2]HHS_Unaccompanied_Alien_Childre!E495</f>
        <v>4628</v>
      </c>
      <c r="F495">
        <f>[3]HHS_Unaccompanied_Alien_Childre!F495</f>
        <v>176</v>
      </c>
      <c r="G495">
        <f t="shared" si="50"/>
        <v>-253</v>
      </c>
      <c r="H495" t="str">
        <f t="shared" si="51"/>
        <v>Decrease</v>
      </c>
      <c r="I495">
        <f t="shared" si="49"/>
        <v>-82</v>
      </c>
      <c r="J495">
        <f t="shared" si="52"/>
        <v>4628</v>
      </c>
      <c r="K495">
        <f t="shared" si="53"/>
        <v>5605</v>
      </c>
      <c r="L495">
        <f t="shared" si="54"/>
        <v>6465</v>
      </c>
      <c r="M495">
        <f t="shared" si="55"/>
        <v>5243</v>
      </c>
    </row>
    <row r="496" spans="1:13" x14ac:dyDescent="0.3">
      <c r="A496" s="2">
        <f>[1]HHS_Unaccompanied_Alien_Childre!G496</f>
        <v>45677</v>
      </c>
      <c r="B496">
        <f>[2]HHS_Unaccompanied_Alien_Childre!B496</f>
        <v>84</v>
      </c>
      <c r="C496">
        <f>[3]HHS_Unaccompanied_Alien_Childre!C496</f>
        <v>118</v>
      </c>
      <c r="D496">
        <f>[2]HHS_Unaccompanied_Alien_Childre!D496</f>
        <v>136</v>
      </c>
      <c r="E496">
        <f>[2]HHS_Unaccompanied_Alien_Childre!E496</f>
        <v>4638</v>
      </c>
      <c r="F496">
        <f>[3]HHS_Unaccompanied_Alien_Childre!F496</f>
        <v>127</v>
      </c>
      <c r="G496">
        <f t="shared" si="50"/>
        <v>10</v>
      </c>
      <c r="H496" t="str">
        <f t="shared" si="51"/>
        <v>Increase</v>
      </c>
      <c r="I496">
        <f t="shared" si="49"/>
        <v>-52</v>
      </c>
      <c r="J496">
        <f t="shared" si="52"/>
        <v>4638</v>
      </c>
      <c r="K496">
        <f t="shared" si="53"/>
        <v>5507</v>
      </c>
      <c r="L496">
        <f t="shared" si="54"/>
        <v>6454</v>
      </c>
      <c r="M496">
        <f t="shared" si="55"/>
        <v>5067.5</v>
      </c>
    </row>
    <row r="497" spans="1:13" x14ac:dyDescent="0.3">
      <c r="A497" s="2">
        <f>[1]HHS_Unaccompanied_Alien_Childre!G497</f>
        <v>45678</v>
      </c>
      <c r="B497">
        <f>[2]HHS_Unaccompanied_Alien_Childre!B497</f>
        <v>59</v>
      </c>
      <c r="C497">
        <f>[3]HHS_Unaccompanied_Alien_Childre!C497</f>
        <v>64</v>
      </c>
      <c r="D497">
        <f>[2]HHS_Unaccompanied_Alien_Childre!D497</f>
        <v>117</v>
      </c>
      <c r="E497">
        <f>[2]HHS_Unaccompanied_Alien_Childre!E497</f>
        <v>4728</v>
      </c>
      <c r="F497">
        <f>[3]HHS_Unaccompanied_Alien_Childre!F497</f>
        <v>54</v>
      </c>
      <c r="G497">
        <f t="shared" si="50"/>
        <v>90</v>
      </c>
      <c r="H497" t="str">
        <f t="shared" si="51"/>
        <v>Increase</v>
      </c>
      <c r="I497">
        <f t="shared" si="49"/>
        <v>-58</v>
      </c>
      <c r="J497">
        <f t="shared" si="52"/>
        <v>4728</v>
      </c>
      <c r="K497">
        <f t="shared" si="53"/>
        <v>5092</v>
      </c>
      <c r="L497">
        <f t="shared" si="54"/>
        <v>6405</v>
      </c>
      <c r="M497">
        <f t="shared" si="55"/>
        <v>4865</v>
      </c>
    </row>
    <row r="498" spans="1:13" x14ac:dyDescent="0.3">
      <c r="A498" s="2">
        <f>[1]HHS_Unaccompanied_Alien_Childre!G498</f>
        <v>45679</v>
      </c>
      <c r="B498">
        <f>[2]HHS_Unaccompanied_Alien_Childre!B498</f>
        <v>62</v>
      </c>
      <c r="C498">
        <f>[3]HHS_Unaccompanied_Alien_Childre!C498</f>
        <v>97</v>
      </c>
      <c r="D498">
        <f>[2]HHS_Unaccompanied_Alien_Childre!D498</f>
        <v>52</v>
      </c>
      <c r="E498">
        <f>[2]HHS_Unaccompanied_Alien_Childre!E498</f>
        <v>4717</v>
      </c>
      <c r="F498">
        <f>[3]HHS_Unaccompanied_Alien_Childre!F498</f>
        <v>83</v>
      </c>
      <c r="G498">
        <f t="shared" si="50"/>
        <v>-11</v>
      </c>
      <c r="H498" t="str">
        <f t="shared" si="51"/>
        <v>Decrease</v>
      </c>
      <c r="I498">
        <f t="shared" si="49"/>
        <v>10</v>
      </c>
      <c r="J498">
        <f t="shared" si="52"/>
        <v>4717</v>
      </c>
      <c r="K498">
        <f t="shared" si="53"/>
        <v>5019</v>
      </c>
      <c r="L498">
        <f t="shared" si="54"/>
        <v>6292</v>
      </c>
      <c r="M498">
        <f t="shared" si="55"/>
        <v>4873.5</v>
      </c>
    </row>
    <row r="499" spans="1:13" x14ac:dyDescent="0.3">
      <c r="A499" s="2">
        <f>[1]HHS_Unaccompanied_Alien_Childre!G499</f>
        <v>45680</v>
      </c>
      <c r="B499">
        <f>[2]HHS_Unaccompanied_Alien_Childre!B499</f>
        <v>91</v>
      </c>
      <c r="C499">
        <f>[3]HHS_Unaccompanied_Alien_Childre!C499</f>
        <v>75</v>
      </c>
      <c r="D499">
        <f>[2]HHS_Unaccompanied_Alien_Childre!D499</f>
        <v>97</v>
      </c>
      <c r="E499">
        <f>[2]HHS_Unaccompanied_Alien_Childre!E499</f>
        <v>4621</v>
      </c>
      <c r="F499">
        <f>[3]HHS_Unaccompanied_Alien_Childre!F499</f>
        <v>174</v>
      </c>
      <c r="G499">
        <f t="shared" si="50"/>
        <v>-96</v>
      </c>
      <c r="H499" t="str">
        <f t="shared" si="51"/>
        <v>Decrease</v>
      </c>
      <c r="I499">
        <f t="shared" si="49"/>
        <v>-6</v>
      </c>
      <c r="J499">
        <f t="shared" si="52"/>
        <v>4621</v>
      </c>
      <c r="K499">
        <f t="shared" si="53"/>
        <v>4957</v>
      </c>
      <c r="L499">
        <f t="shared" si="54"/>
        <v>5882</v>
      </c>
      <c r="M499">
        <f t="shared" si="55"/>
        <v>4837</v>
      </c>
    </row>
    <row r="500" spans="1:13" x14ac:dyDescent="0.3">
      <c r="A500" s="2">
        <f>[1]HHS_Unaccompanied_Alien_Childre!G500</f>
        <v>45683</v>
      </c>
      <c r="B500">
        <f>[2]HHS_Unaccompanied_Alien_Childre!B500</f>
        <v>29</v>
      </c>
      <c r="C500">
        <f>[3]HHS_Unaccompanied_Alien_Childre!C500</f>
        <v>51</v>
      </c>
      <c r="D500">
        <f>[2]HHS_Unaccompanied_Alien_Childre!D500</f>
        <v>11</v>
      </c>
      <c r="E500">
        <f>[2]HHS_Unaccompanied_Alien_Childre!E500</f>
        <v>4241</v>
      </c>
      <c r="F500">
        <f>[3]HHS_Unaccompanied_Alien_Childre!F500</f>
        <v>182</v>
      </c>
      <c r="G500">
        <f t="shared" si="50"/>
        <v>-380</v>
      </c>
      <c r="H500" t="str">
        <f t="shared" si="51"/>
        <v>Decrease</v>
      </c>
      <c r="I500">
        <f t="shared" si="49"/>
        <v>18</v>
      </c>
      <c r="J500">
        <f t="shared" si="52"/>
        <v>4241</v>
      </c>
      <c r="K500">
        <f t="shared" si="53"/>
        <v>4903</v>
      </c>
      <c r="L500">
        <f t="shared" si="54"/>
        <v>5769</v>
      </c>
      <c r="M500">
        <f t="shared" si="55"/>
        <v>4762</v>
      </c>
    </row>
    <row r="501" spans="1:13" x14ac:dyDescent="0.3">
      <c r="A501" s="2">
        <f>[1]HHS_Unaccompanied_Alien_Childre!G501</f>
        <v>45684</v>
      </c>
      <c r="B501">
        <f>[2]HHS_Unaccompanied_Alien_Childre!B501</f>
        <v>33</v>
      </c>
      <c r="C501">
        <f>[3]HHS_Unaccompanied_Alien_Childre!C501</f>
        <v>53</v>
      </c>
      <c r="D501">
        <f>[2]HHS_Unaccompanied_Alien_Childre!D501</f>
        <v>34</v>
      </c>
      <c r="E501">
        <f>[2]HHS_Unaccompanied_Alien_Childre!E501</f>
        <v>4161</v>
      </c>
      <c r="F501">
        <f>[3]HHS_Unaccompanied_Alien_Childre!F501</f>
        <v>127</v>
      </c>
      <c r="G501">
        <f t="shared" si="50"/>
        <v>-80</v>
      </c>
      <c r="H501" t="str">
        <f t="shared" si="51"/>
        <v>Decrease</v>
      </c>
      <c r="I501">
        <f t="shared" si="49"/>
        <v>-1</v>
      </c>
      <c r="J501">
        <f t="shared" si="52"/>
        <v>4161</v>
      </c>
      <c r="K501">
        <f t="shared" si="53"/>
        <v>4881</v>
      </c>
      <c r="L501">
        <f t="shared" si="54"/>
        <v>5703</v>
      </c>
      <c r="M501">
        <f t="shared" si="55"/>
        <v>4561</v>
      </c>
    </row>
    <row r="502" spans="1:13" x14ac:dyDescent="0.3">
      <c r="A502" s="2">
        <f>[1]HHS_Unaccompanied_Alien_Childre!G502</f>
        <v>45685</v>
      </c>
      <c r="B502">
        <f>[2]HHS_Unaccompanied_Alien_Childre!B502</f>
        <v>32</v>
      </c>
      <c r="C502">
        <f>[3]HHS_Unaccompanied_Alien_Childre!C502</f>
        <v>49</v>
      </c>
      <c r="D502">
        <f>[2]HHS_Unaccompanied_Alien_Childre!D502</f>
        <v>39</v>
      </c>
      <c r="E502">
        <f>[2]HHS_Unaccompanied_Alien_Childre!E502</f>
        <v>4096</v>
      </c>
      <c r="F502">
        <f>[3]HHS_Unaccompanied_Alien_Childre!F502</f>
        <v>101</v>
      </c>
      <c r="G502">
        <f t="shared" si="50"/>
        <v>-65</v>
      </c>
      <c r="H502" t="str">
        <f t="shared" si="51"/>
        <v>Decrease</v>
      </c>
      <c r="I502">
        <f t="shared" si="49"/>
        <v>-7</v>
      </c>
      <c r="J502">
        <f t="shared" si="52"/>
        <v>4096</v>
      </c>
      <c r="K502">
        <f t="shared" si="53"/>
        <v>4628</v>
      </c>
      <c r="L502">
        <f t="shared" si="54"/>
        <v>5605</v>
      </c>
      <c r="M502">
        <f t="shared" si="55"/>
        <v>4394.5</v>
      </c>
    </row>
    <row r="503" spans="1:13" x14ac:dyDescent="0.3">
      <c r="A503" s="2">
        <f>[1]HHS_Unaccompanied_Alien_Childre!G503</f>
        <v>45686</v>
      </c>
      <c r="B503">
        <f>[2]HHS_Unaccompanied_Alien_Childre!B503</f>
        <v>32</v>
      </c>
      <c r="C503">
        <f>[3]HHS_Unaccompanied_Alien_Childre!C503</f>
        <v>50</v>
      </c>
      <c r="D503">
        <f>[2]HHS_Unaccompanied_Alien_Childre!D503</f>
        <v>39</v>
      </c>
      <c r="E503">
        <f>[2]HHS_Unaccompanied_Alien_Childre!E503</f>
        <v>4036</v>
      </c>
      <c r="F503">
        <f>[3]HHS_Unaccompanied_Alien_Childre!F503</f>
        <v>99</v>
      </c>
      <c r="G503">
        <f t="shared" si="50"/>
        <v>-60</v>
      </c>
      <c r="H503" t="str">
        <f t="shared" si="51"/>
        <v>Decrease</v>
      </c>
      <c r="I503">
        <f t="shared" si="49"/>
        <v>-7</v>
      </c>
      <c r="J503">
        <f t="shared" si="52"/>
        <v>4036</v>
      </c>
      <c r="K503">
        <f t="shared" si="53"/>
        <v>4638</v>
      </c>
      <c r="L503">
        <f t="shared" si="54"/>
        <v>5507</v>
      </c>
      <c r="M503">
        <f t="shared" si="55"/>
        <v>4367</v>
      </c>
    </row>
    <row r="504" spans="1:13" x14ac:dyDescent="0.3">
      <c r="A504" s="2">
        <f>[1]HHS_Unaccompanied_Alien_Childre!G504</f>
        <v>45687</v>
      </c>
      <c r="B504">
        <f>[2]HHS_Unaccompanied_Alien_Childre!B504</f>
        <v>47</v>
      </c>
      <c r="C504">
        <f>[3]HHS_Unaccompanied_Alien_Childre!C504</f>
        <v>42</v>
      </c>
      <c r="D504">
        <f>[2]HHS_Unaccompanied_Alien_Childre!D504</f>
        <v>47</v>
      </c>
      <c r="E504">
        <f>[2]HHS_Unaccompanied_Alien_Childre!E504</f>
        <v>3923</v>
      </c>
      <c r="F504">
        <f>[3]HHS_Unaccompanied_Alien_Childre!F504</f>
        <v>159</v>
      </c>
      <c r="G504">
        <f t="shared" si="50"/>
        <v>-113</v>
      </c>
      <c r="H504" t="str">
        <f t="shared" si="51"/>
        <v>Decrease</v>
      </c>
      <c r="I504">
        <f t="shared" si="49"/>
        <v>0</v>
      </c>
      <c r="J504">
        <f t="shared" si="52"/>
        <v>3923</v>
      </c>
      <c r="K504">
        <f t="shared" si="53"/>
        <v>4728</v>
      </c>
      <c r="L504">
        <f t="shared" si="54"/>
        <v>5092</v>
      </c>
      <c r="M504">
        <f t="shared" si="55"/>
        <v>4382</v>
      </c>
    </row>
    <row r="505" spans="1:13" x14ac:dyDescent="0.3">
      <c r="A505" s="2">
        <f>[1]HHS_Unaccompanied_Alien_Childre!G505</f>
        <v>45690</v>
      </c>
      <c r="B505">
        <f>[2]HHS_Unaccompanied_Alien_Childre!B505</f>
        <v>20</v>
      </c>
      <c r="C505">
        <f>[3]HHS_Unaccompanied_Alien_Childre!C505</f>
        <v>22</v>
      </c>
      <c r="D505">
        <f>[2]HHS_Unaccompanied_Alien_Childre!D505</f>
        <v>41</v>
      </c>
      <c r="E505">
        <f>[2]HHS_Unaccompanied_Alien_Childre!E505</f>
        <v>3483</v>
      </c>
      <c r="F505">
        <f>[3]HHS_Unaccompanied_Alien_Childre!F505</f>
        <v>168</v>
      </c>
      <c r="G505">
        <f t="shared" si="50"/>
        <v>-440</v>
      </c>
      <c r="H505" t="str">
        <f t="shared" si="51"/>
        <v>Decrease</v>
      </c>
      <c r="I505">
        <f t="shared" si="49"/>
        <v>-21</v>
      </c>
      <c r="J505">
        <f t="shared" si="52"/>
        <v>3483</v>
      </c>
      <c r="K505">
        <f t="shared" si="53"/>
        <v>4717</v>
      </c>
      <c r="L505">
        <f t="shared" si="54"/>
        <v>5019</v>
      </c>
      <c r="M505">
        <f t="shared" si="55"/>
        <v>4320</v>
      </c>
    </row>
    <row r="506" spans="1:13" x14ac:dyDescent="0.3">
      <c r="A506" s="2">
        <f>[1]HHS_Unaccompanied_Alien_Childre!G506</f>
        <v>45691</v>
      </c>
      <c r="B506">
        <f>[2]HHS_Unaccompanied_Alien_Childre!B506</f>
        <v>23</v>
      </c>
      <c r="C506">
        <f>[3]HHS_Unaccompanied_Alien_Childre!C506</f>
        <v>45</v>
      </c>
      <c r="D506">
        <f>[2]HHS_Unaccompanied_Alien_Childre!D506</f>
        <v>11</v>
      </c>
      <c r="E506">
        <f>[2]HHS_Unaccompanied_Alien_Childre!E506</f>
        <v>3403</v>
      </c>
      <c r="F506">
        <f>[3]HHS_Unaccompanied_Alien_Childre!F506</f>
        <v>102</v>
      </c>
      <c r="G506">
        <f t="shared" si="50"/>
        <v>-80</v>
      </c>
      <c r="H506" t="str">
        <f t="shared" si="51"/>
        <v>Decrease</v>
      </c>
      <c r="I506">
        <f t="shared" si="49"/>
        <v>12</v>
      </c>
      <c r="J506">
        <f t="shared" si="52"/>
        <v>3403</v>
      </c>
      <c r="K506">
        <f t="shared" si="53"/>
        <v>4621</v>
      </c>
      <c r="L506">
        <f t="shared" si="54"/>
        <v>4957</v>
      </c>
      <c r="M506">
        <f t="shared" si="55"/>
        <v>4052</v>
      </c>
    </row>
    <row r="507" spans="1:13" x14ac:dyDescent="0.3">
      <c r="A507" s="2">
        <f>[1]HHS_Unaccompanied_Alien_Childre!G507</f>
        <v>45692</v>
      </c>
      <c r="B507">
        <f>[2]HHS_Unaccompanied_Alien_Childre!B507</f>
        <v>34</v>
      </c>
      <c r="C507">
        <f>[3]HHS_Unaccompanied_Alien_Childre!C507</f>
        <v>54</v>
      </c>
      <c r="D507">
        <f>[2]HHS_Unaccompanied_Alien_Childre!D507</f>
        <v>29</v>
      </c>
      <c r="E507">
        <f>[2]HHS_Unaccompanied_Alien_Childre!E507</f>
        <v>3359</v>
      </c>
      <c r="F507">
        <f>[3]HHS_Unaccompanied_Alien_Childre!F507</f>
        <v>74</v>
      </c>
      <c r="G507">
        <f t="shared" si="50"/>
        <v>-44</v>
      </c>
      <c r="H507" t="str">
        <f t="shared" si="51"/>
        <v>Decrease</v>
      </c>
      <c r="I507">
        <f t="shared" si="49"/>
        <v>5</v>
      </c>
      <c r="J507">
        <f t="shared" si="52"/>
        <v>3359</v>
      </c>
      <c r="K507">
        <f t="shared" si="53"/>
        <v>4241</v>
      </c>
      <c r="L507">
        <f t="shared" si="54"/>
        <v>4903</v>
      </c>
      <c r="M507">
        <f t="shared" si="55"/>
        <v>3822</v>
      </c>
    </row>
    <row r="508" spans="1:13" x14ac:dyDescent="0.3">
      <c r="A508" s="2">
        <f>[1]HHS_Unaccompanied_Alien_Childre!G508</f>
        <v>45693</v>
      </c>
      <c r="B508">
        <f>[2]HHS_Unaccompanied_Alien_Childre!B508</f>
        <v>26</v>
      </c>
      <c r="C508">
        <f>[3]HHS_Unaccompanied_Alien_Childre!C508</f>
        <v>36</v>
      </c>
      <c r="D508">
        <f>[2]HHS_Unaccompanied_Alien_Childre!D508</f>
        <v>36</v>
      </c>
      <c r="E508">
        <f>[2]HHS_Unaccompanied_Alien_Childre!E508</f>
        <v>3290</v>
      </c>
      <c r="F508">
        <f>[3]HHS_Unaccompanied_Alien_Childre!F508</f>
        <v>104</v>
      </c>
      <c r="G508">
        <f t="shared" si="50"/>
        <v>-69</v>
      </c>
      <c r="H508" t="str">
        <f t="shared" si="51"/>
        <v>Decrease</v>
      </c>
      <c r="I508">
        <f t="shared" si="49"/>
        <v>-10</v>
      </c>
      <c r="J508">
        <f t="shared" si="52"/>
        <v>3290</v>
      </c>
      <c r="K508">
        <f t="shared" si="53"/>
        <v>4161</v>
      </c>
      <c r="L508">
        <f t="shared" si="54"/>
        <v>4881</v>
      </c>
      <c r="M508">
        <f t="shared" si="55"/>
        <v>3760</v>
      </c>
    </row>
    <row r="509" spans="1:13" x14ac:dyDescent="0.3">
      <c r="A509" s="2">
        <f>[1]HHS_Unaccompanied_Alien_Childre!G509</f>
        <v>45694</v>
      </c>
      <c r="B509">
        <f>[2]HHS_Unaccompanied_Alien_Childre!B509</f>
        <v>25</v>
      </c>
      <c r="C509">
        <f>[3]HHS_Unaccompanied_Alien_Childre!C509</f>
        <v>32</v>
      </c>
      <c r="D509">
        <f>[2]HHS_Unaccompanied_Alien_Childre!D509</f>
        <v>27</v>
      </c>
      <c r="E509">
        <f>[2]HHS_Unaccompanied_Alien_Childre!E509</f>
        <v>3181</v>
      </c>
      <c r="F509">
        <f>[3]HHS_Unaccompanied_Alien_Childre!F509</f>
        <v>145</v>
      </c>
      <c r="G509">
        <f t="shared" si="50"/>
        <v>-109</v>
      </c>
      <c r="H509" t="str">
        <f t="shared" si="51"/>
        <v>Decrease</v>
      </c>
      <c r="I509">
        <f t="shared" si="49"/>
        <v>-2</v>
      </c>
      <c r="J509">
        <f t="shared" si="52"/>
        <v>3181</v>
      </c>
      <c r="K509">
        <f t="shared" si="53"/>
        <v>4096</v>
      </c>
      <c r="L509">
        <f t="shared" si="54"/>
        <v>4628</v>
      </c>
      <c r="M509">
        <f t="shared" si="55"/>
        <v>3693</v>
      </c>
    </row>
    <row r="510" spans="1:13" x14ac:dyDescent="0.3">
      <c r="A510" s="2">
        <f>[1]HHS_Unaccompanied_Alien_Childre!G510</f>
        <v>45697</v>
      </c>
      <c r="B510">
        <f>[2]HHS_Unaccompanied_Alien_Childre!B510</f>
        <v>15</v>
      </c>
      <c r="C510">
        <f>[3]HHS_Unaccompanied_Alien_Childre!C510</f>
        <v>13</v>
      </c>
      <c r="D510">
        <f>[2]HHS_Unaccompanied_Alien_Childre!D510</f>
        <v>23</v>
      </c>
      <c r="E510">
        <f>[2]HHS_Unaccompanied_Alien_Childre!E510</f>
        <v>2878</v>
      </c>
      <c r="F510">
        <f>[3]HHS_Unaccompanied_Alien_Childre!F510</f>
        <v>99</v>
      </c>
      <c r="G510">
        <f t="shared" si="50"/>
        <v>-303</v>
      </c>
      <c r="H510" t="str">
        <f t="shared" si="51"/>
        <v>Decrease</v>
      </c>
      <c r="I510">
        <f t="shared" si="49"/>
        <v>-8</v>
      </c>
      <c r="J510">
        <f t="shared" si="52"/>
        <v>2878</v>
      </c>
      <c r="K510">
        <f t="shared" si="53"/>
        <v>4036</v>
      </c>
      <c r="L510">
        <f t="shared" si="54"/>
        <v>4638</v>
      </c>
      <c r="M510">
        <f t="shared" si="55"/>
        <v>3608.5</v>
      </c>
    </row>
    <row r="511" spans="1:13" x14ac:dyDescent="0.3">
      <c r="A511" s="2">
        <f>[1]HHS_Unaccompanied_Alien_Childre!G511</f>
        <v>45698</v>
      </c>
      <c r="B511">
        <f>[2]HHS_Unaccompanied_Alien_Childre!B511</f>
        <v>16</v>
      </c>
      <c r="C511">
        <f>[3]HHS_Unaccompanied_Alien_Childre!C511</f>
        <v>18</v>
      </c>
      <c r="D511">
        <f>[2]HHS_Unaccompanied_Alien_Childre!D511</f>
        <v>15</v>
      </c>
      <c r="E511">
        <f>[2]HHS_Unaccompanied_Alien_Childre!E511</f>
        <v>2834</v>
      </c>
      <c r="F511">
        <f>[3]HHS_Unaccompanied_Alien_Childre!F511</f>
        <v>63</v>
      </c>
      <c r="G511">
        <f t="shared" si="50"/>
        <v>-44</v>
      </c>
      <c r="H511" t="str">
        <f t="shared" si="51"/>
        <v>Decrease</v>
      </c>
      <c r="I511">
        <f t="shared" si="49"/>
        <v>1</v>
      </c>
      <c r="J511">
        <f t="shared" si="52"/>
        <v>2834</v>
      </c>
      <c r="K511">
        <f t="shared" si="53"/>
        <v>3923</v>
      </c>
      <c r="L511">
        <f t="shared" si="54"/>
        <v>4728</v>
      </c>
      <c r="M511">
        <f t="shared" si="55"/>
        <v>3400.5</v>
      </c>
    </row>
    <row r="512" spans="1:13" x14ac:dyDescent="0.3">
      <c r="A512" s="2">
        <f>[1]HHS_Unaccompanied_Alien_Childre!G512</f>
        <v>45699</v>
      </c>
      <c r="B512">
        <f>[2]HHS_Unaccompanied_Alien_Childre!B512</f>
        <v>11</v>
      </c>
      <c r="C512">
        <f>[3]HHS_Unaccompanied_Alien_Childre!C512</f>
        <v>22</v>
      </c>
      <c r="D512">
        <f>[2]HHS_Unaccompanied_Alien_Childre!D512</f>
        <v>12</v>
      </c>
      <c r="E512">
        <f>[2]HHS_Unaccompanied_Alien_Childre!E512</f>
        <v>2799</v>
      </c>
      <c r="F512">
        <f>[3]HHS_Unaccompanied_Alien_Childre!F512</f>
        <v>50</v>
      </c>
      <c r="G512">
        <f t="shared" si="50"/>
        <v>-35</v>
      </c>
      <c r="H512" t="str">
        <f t="shared" si="51"/>
        <v>Decrease</v>
      </c>
      <c r="I512">
        <f t="shared" si="49"/>
        <v>-1</v>
      </c>
      <c r="J512">
        <f t="shared" si="52"/>
        <v>2799</v>
      </c>
      <c r="K512">
        <f t="shared" si="53"/>
        <v>3483</v>
      </c>
      <c r="L512">
        <f t="shared" si="54"/>
        <v>4717</v>
      </c>
      <c r="M512">
        <f t="shared" si="55"/>
        <v>3158.5</v>
      </c>
    </row>
    <row r="513" spans="1:13" x14ac:dyDescent="0.3">
      <c r="A513" s="2">
        <f>[1]HHS_Unaccompanied_Alien_Childre!G513</f>
        <v>45700</v>
      </c>
      <c r="B513">
        <f>[2]HHS_Unaccompanied_Alien_Childre!B513</f>
        <v>16</v>
      </c>
      <c r="C513">
        <f>[3]HHS_Unaccompanied_Alien_Childre!C513</f>
        <v>20</v>
      </c>
      <c r="D513">
        <f>[2]HHS_Unaccompanied_Alien_Childre!D513</f>
        <v>20</v>
      </c>
      <c r="E513">
        <f>[2]HHS_Unaccompanied_Alien_Childre!E513</f>
        <v>2752</v>
      </c>
      <c r="F513">
        <f>[3]HHS_Unaccompanied_Alien_Childre!F513</f>
        <v>66</v>
      </c>
      <c r="G513">
        <f t="shared" si="50"/>
        <v>-47</v>
      </c>
      <c r="H513" t="str">
        <f t="shared" si="51"/>
        <v>Decrease</v>
      </c>
      <c r="I513">
        <f t="shared" si="49"/>
        <v>-4</v>
      </c>
      <c r="J513">
        <f t="shared" si="52"/>
        <v>2752</v>
      </c>
      <c r="K513">
        <f t="shared" si="53"/>
        <v>3403</v>
      </c>
      <c r="L513">
        <f t="shared" si="54"/>
        <v>4621</v>
      </c>
      <c r="M513">
        <f t="shared" si="55"/>
        <v>3101</v>
      </c>
    </row>
    <row r="514" spans="1:13" x14ac:dyDescent="0.3">
      <c r="A514" s="2">
        <f>[1]HHS_Unaccompanied_Alien_Childre!G514</f>
        <v>45701</v>
      </c>
      <c r="B514">
        <f>[2]HHS_Unaccompanied_Alien_Childre!B514</f>
        <v>15</v>
      </c>
      <c r="C514">
        <f>[3]HHS_Unaccompanied_Alien_Childre!C514</f>
        <v>10</v>
      </c>
      <c r="D514">
        <f>[2]HHS_Unaccompanied_Alien_Childre!D514</f>
        <v>23</v>
      </c>
      <c r="E514">
        <f>[2]HHS_Unaccompanied_Alien_Childre!E514</f>
        <v>2703</v>
      </c>
      <c r="F514">
        <f>[3]HHS_Unaccompanied_Alien_Childre!F514</f>
        <v>72</v>
      </c>
      <c r="G514">
        <f t="shared" si="50"/>
        <v>-49</v>
      </c>
      <c r="H514" t="str">
        <f t="shared" si="51"/>
        <v>Decrease</v>
      </c>
      <c r="I514">
        <f t="shared" si="49"/>
        <v>-8</v>
      </c>
      <c r="J514">
        <f t="shared" si="52"/>
        <v>2703</v>
      </c>
      <c r="K514">
        <f t="shared" si="53"/>
        <v>3359</v>
      </c>
      <c r="L514">
        <f t="shared" si="54"/>
        <v>4241</v>
      </c>
      <c r="M514">
        <f t="shared" si="55"/>
        <v>3055.5</v>
      </c>
    </row>
    <row r="515" spans="1:13" x14ac:dyDescent="0.3">
      <c r="A515" s="2">
        <f>[1]HHS_Unaccompanied_Alien_Childre!G515</f>
        <v>45705</v>
      </c>
      <c r="B515">
        <f>[2]HHS_Unaccompanied_Alien_Childre!B515</f>
        <v>8</v>
      </c>
      <c r="C515">
        <f>[3]HHS_Unaccompanied_Alien_Childre!C515</f>
        <v>17</v>
      </c>
      <c r="D515">
        <f>[2]HHS_Unaccompanied_Alien_Childre!D515</f>
        <v>14</v>
      </c>
      <c r="E515">
        <f>[2]HHS_Unaccompanied_Alien_Childre!E515</f>
        <v>2532</v>
      </c>
      <c r="F515">
        <f>[3]HHS_Unaccompanied_Alien_Childre!F515</f>
        <v>15</v>
      </c>
      <c r="G515">
        <f t="shared" si="50"/>
        <v>-171</v>
      </c>
      <c r="H515" t="str">
        <f t="shared" si="51"/>
        <v>Decrease</v>
      </c>
      <c r="I515">
        <f t="shared" ref="I515:I578" si="56">B515-D515</f>
        <v>-6</v>
      </c>
      <c r="J515">
        <f t="shared" si="52"/>
        <v>2532</v>
      </c>
      <c r="K515">
        <f t="shared" si="53"/>
        <v>3290</v>
      </c>
      <c r="L515">
        <f t="shared" si="54"/>
        <v>4161</v>
      </c>
      <c r="M515">
        <f t="shared" si="55"/>
        <v>2996.5</v>
      </c>
    </row>
    <row r="516" spans="1:13" x14ac:dyDescent="0.3">
      <c r="A516" s="2">
        <f>[1]HHS_Unaccompanied_Alien_Childre!G516</f>
        <v>45706</v>
      </c>
      <c r="B516">
        <f>[2]HHS_Unaccompanied_Alien_Childre!B516</f>
        <v>18</v>
      </c>
      <c r="C516">
        <f>[3]HHS_Unaccompanied_Alien_Childre!C516</f>
        <v>19</v>
      </c>
      <c r="D516">
        <f>[2]HHS_Unaccompanied_Alien_Childre!D516</f>
        <v>11</v>
      </c>
      <c r="E516">
        <f>[2]HHS_Unaccompanied_Alien_Childre!E516</f>
        <v>2536</v>
      </c>
      <c r="F516">
        <f>[3]HHS_Unaccompanied_Alien_Childre!F516</f>
        <v>9</v>
      </c>
      <c r="G516">
        <f t="shared" ref="G516:G579" si="57">E516-E515</f>
        <v>4</v>
      </c>
      <c r="H516" t="str">
        <f t="shared" ref="H516:H579" si="58">IF(G516&gt;0,"Increase",IF(G516&lt;0,"Decrease","No Change"))</f>
        <v>Increase</v>
      </c>
      <c r="I516">
        <f t="shared" si="56"/>
        <v>7</v>
      </c>
      <c r="J516">
        <f t="shared" si="52"/>
        <v>2536</v>
      </c>
      <c r="K516">
        <f t="shared" si="53"/>
        <v>3181</v>
      </c>
      <c r="L516">
        <f t="shared" si="54"/>
        <v>4096</v>
      </c>
      <c r="M516">
        <f t="shared" si="55"/>
        <v>2856.5</v>
      </c>
    </row>
    <row r="517" spans="1:13" x14ac:dyDescent="0.3">
      <c r="A517" s="2">
        <f>[1]HHS_Unaccompanied_Alien_Childre!G517</f>
        <v>45707</v>
      </c>
      <c r="B517">
        <f>[2]HHS_Unaccompanied_Alien_Childre!B517</f>
        <v>12</v>
      </c>
      <c r="C517">
        <f>[3]HHS_Unaccompanied_Alien_Childre!C517</f>
        <v>17</v>
      </c>
      <c r="D517">
        <f>[2]HHS_Unaccompanied_Alien_Childre!D517</f>
        <v>17</v>
      </c>
      <c r="E517">
        <f>[2]HHS_Unaccompanied_Alien_Childre!E517</f>
        <v>2528</v>
      </c>
      <c r="F517">
        <f>[3]HHS_Unaccompanied_Alien_Childre!F517</f>
        <v>19</v>
      </c>
      <c r="G517">
        <f t="shared" si="57"/>
        <v>-8</v>
      </c>
      <c r="H517" t="str">
        <f t="shared" si="58"/>
        <v>Decrease</v>
      </c>
      <c r="I517">
        <f t="shared" si="56"/>
        <v>-5</v>
      </c>
      <c r="J517">
        <f t="shared" si="52"/>
        <v>2528</v>
      </c>
      <c r="K517">
        <f t="shared" si="53"/>
        <v>2878</v>
      </c>
      <c r="L517">
        <f t="shared" si="54"/>
        <v>4036</v>
      </c>
      <c r="M517">
        <f t="shared" si="55"/>
        <v>2707</v>
      </c>
    </row>
    <row r="518" spans="1:13" x14ac:dyDescent="0.3">
      <c r="A518" s="2">
        <f>[1]HHS_Unaccompanied_Alien_Childre!G518</f>
        <v>45708</v>
      </c>
      <c r="B518">
        <f>[2]HHS_Unaccompanied_Alien_Childre!B518</f>
        <v>13</v>
      </c>
      <c r="C518">
        <f>[3]HHS_Unaccompanied_Alien_Childre!C518</f>
        <v>25</v>
      </c>
      <c r="D518">
        <f>[2]HHS_Unaccompanied_Alien_Childre!D518</f>
        <v>15</v>
      </c>
      <c r="E518">
        <f>[2]HHS_Unaccompanied_Alien_Childre!E518</f>
        <v>2520</v>
      </c>
      <c r="F518">
        <f>[3]HHS_Unaccompanied_Alien_Childre!F518</f>
        <v>32</v>
      </c>
      <c r="G518">
        <f t="shared" si="57"/>
        <v>-8</v>
      </c>
      <c r="H518" t="str">
        <f t="shared" si="58"/>
        <v>Decrease</v>
      </c>
      <c r="I518">
        <f t="shared" si="56"/>
        <v>-2</v>
      </c>
      <c r="J518">
        <f t="shared" si="52"/>
        <v>2520</v>
      </c>
      <c r="K518">
        <f t="shared" si="53"/>
        <v>2834</v>
      </c>
      <c r="L518">
        <f t="shared" si="54"/>
        <v>3923</v>
      </c>
      <c r="M518">
        <f t="shared" si="55"/>
        <v>2681</v>
      </c>
    </row>
    <row r="519" spans="1:13" x14ac:dyDescent="0.3">
      <c r="A519" s="2">
        <f>[1]HHS_Unaccompanied_Alien_Childre!G519</f>
        <v>45711</v>
      </c>
      <c r="B519">
        <f>[2]HHS_Unaccompanied_Alien_Childre!B519</f>
        <v>7</v>
      </c>
      <c r="C519">
        <f>[3]HHS_Unaccompanied_Alien_Childre!C519</f>
        <v>16</v>
      </c>
      <c r="D519">
        <f>[2]HHS_Unaccompanied_Alien_Childre!D519</f>
        <v>8</v>
      </c>
      <c r="E519">
        <f>[2]HHS_Unaccompanied_Alien_Childre!E519</f>
        <v>2423</v>
      </c>
      <c r="F519">
        <f>[3]HHS_Unaccompanied_Alien_Childre!F519</f>
        <v>35</v>
      </c>
      <c r="G519">
        <f t="shared" si="57"/>
        <v>-97</v>
      </c>
      <c r="H519" t="str">
        <f t="shared" si="58"/>
        <v>Decrease</v>
      </c>
      <c r="I519">
        <f t="shared" si="56"/>
        <v>-1</v>
      </c>
      <c r="J519">
        <f t="shared" si="52"/>
        <v>2423</v>
      </c>
      <c r="K519">
        <f t="shared" si="53"/>
        <v>2799</v>
      </c>
      <c r="L519">
        <f t="shared" si="54"/>
        <v>3483</v>
      </c>
      <c r="M519">
        <f t="shared" si="55"/>
        <v>2659.5</v>
      </c>
    </row>
    <row r="520" spans="1:13" x14ac:dyDescent="0.3">
      <c r="A520" s="2">
        <f>[1]HHS_Unaccompanied_Alien_Childre!G520</f>
        <v>45712</v>
      </c>
      <c r="B520">
        <f>[2]HHS_Unaccompanied_Alien_Childre!B520</f>
        <v>20</v>
      </c>
      <c r="C520">
        <f>[3]HHS_Unaccompanied_Alien_Childre!C520</f>
        <v>22</v>
      </c>
      <c r="D520">
        <f>[2]HHS_Unaccompanied_Alien_Childre!D520</f>
        <v>14</v>
      </c>
      <c r="E520">
        <f>[2]HHS_Unaccompanied_Alien_Childre!E520</f>
        <v>2413</v>
      </c>
      <c r="F520">
        <f>[3]HHS_Unaccompanied_Alien_Childre!F520</f>
        <v>24</v>
      </c>
      <c r="G520">
        <f t="shared" si="57"/>
        <v>-10</v>
      </c>
      <c r="H520" t="str">
        <f t="shared" si="58"/>
        <v>Decrease</v>
      </c>
      <c r="I520">
        <f t="shared" si="56"/>
        <v>6</v>
      </c>
      <c r="J520">
        <f t="shared" si="52"/>
        <v>2413</v>
      </c>
      <c r="K520">
        <f t="shared" si="53"/>
        <v>2752</v>
      </c>
      <c r="L520">
        <f t="shared" si="54"/>
        <v>3403</v>
      </c>
      <c r="M520">
        <f t="shared" si="55"/>
        <v>2587.5</v>
      </c>
    </row>
    <row r="521" spans="1:13" x14ac:dyDescent="0.3">
      <c r="A521" s="2">
        <f>[1]HHS_Unaccompanied_Alien_Childre!G521</f>
        <v>45713</v>
      </c>
      <c r="B521">
        <f>[2]HHS_Unaccompanied_Alien_Childre!B521</f>
        <v>11</v>
      </c>
      <c r="C521">
        <f>[3]HHS_Unaccompanied_Alien_Childre!C521</f>
        <v>7</v>
      </c>
      <c r="D521">
        <f>[2]HHS_Unaccompanied_Alien_Childre!D521</f>
        <v>7</v>
      </c>
      <c r="E521">
        <f>[2]HHS_Unaccompanied_Alien_Childre!E521</f>
        <v>2413</v>
      </c>
      <c r="F521">
        <f>[3]HHS_Unaccompanied_Alien_Childre!F521</f>
        <v>23</v>
      </c>
      <c r="G521">
        <f t="shared" si="57"/>
        <v>0</v>
      </c>
      <c r="H521" t="str">
        <f t="shared" si="58"/>
        <v>No Change</v>
      </c>
      <c r="I521">
        <f t="shared" si="56"/>
        <v>4</v>
      </c>
      <c r="J521">
        <f t="shared" si="52"/>
        <v>2413</v>
      </c>
      <c r="K521">
        <f t="shared" si="53"/>
        <v>2703</v>
      </c>
      <c r="L521">
        <f t="shared" si="54"/>
        <v>3359</v>
      </c>
      <c r="M521">
        <f t="shared" si="55"/>
        <v>2558</v>
      </c>
    </row>
    <row r="522" spans="1:13" x14ac:dyDescent="0.3">
      <c r="A522" s="2">
        <f>[1]HHS_Unaccompanied_Alien_Childre!G522</f>
        <v>45714</v>
      </c>
      <c r="B522">
        <f>[2]HHS_Unaccompanied_Alien_Childre!B522</f>
        <v>12</v>
      </c>
      <c r="C522">
        <f>[3]HHS_Unaccompanied_Alien_Childre!C522</f>
        <v>21</v>
      </c>
      <c r="D522">
        <f>[2]HHS_Unaccompanied_Alien_Childre!D522</f>
        <v>1</v>
      </c>
      <c r="E522">
        <f>[2]HHS_Unaccompanied_Alien_Childre!E522</f>
        <v>2411</v>
      </c>
      <c r="F522">
        <f>[3]HHS_Unaccompanied_Alien_Childre!F522</f>
        <v>23</v>
      </c>
      <c r="G522">
        <f t="shared" si="57"/>
        <v>-2</v>
      </c>
      <c r="H522" t="str">
        <f t="shared" si="58"/>
        <v>Decrease</v>
      </c>
      <c r="I522">
        <f t="shared" si="56"/>
        <v>11</v>
      </c>
      <c r="J522">
        <f t="shared" si="52"/>
        <v>2411</v>
      </c>
      <c r="K522">
        <f t="shared" si="53"/>
        <v>2532</v>
      </c>
      <c r="L522">
        <f t="shared" si="54"/>
        <v>3290</v>
      </c>
      <c r="M522">
        <f t="shared" si="55"/>
        <v>2472.5</v>
      </c>
    </row>
    <row r="523" spans="1:13" x14ac:dyDescent="0.3">
      <c r="A523" s="2">
        <f>[1]HHS_Unaccompanied_Alien_Childre!G523</f>
        <v>45715</v>
      </c>
      <c r="B523">
        <f>[2]HHS_Unaccompanied_Alien_Childre!B523</f>
        <v>10</v>
      </c>
      <c r="C523">
        <f>[3]HHS_Unaccompanied_Alien_Childre!C523</f>
        <v>15</v>
      </c>
      <c r="D523">
        <f>[2]HHS_Unaccompanied_Alien_Childre!D523</f>
        <v>17</v>
      </c>
      <c r="E523">
        <f>[2]HHS_Unaccompanied_Alien_Childre!E523</f>
        <v>2391</v>
      </c>
      <c r="F523">
        <f>[3]HHS_Unaccompanied_Alien_Childre!F523</f>
        <v>37</v>
      </c>
      <c r="G523">
        <f t="shared" si="57"/>
        <v>-20</v>
      </c>
      <c r="H523" t="str">
        <f t="shared" si="58"/>
        <v>Decrease</v>
      </c>
      <c r="I523">
        <f t="shared" si="56"/>
        <v>-7</v>
      </c>
      <c r="J523">
        <f t="shared" si="52"/>
        <v>2391</v>
      </c>
      <c r="K523">
        <f t="shared" si="53"/>
        <v>2536</v>
      </c>
      <c r="L523">
        <f t="shared" si="54"/>
        <v>3181</v>
      </c>
      <c r="M523">
        <f t="shared" si="55"/>
        <v>2473.5</v>
      </c>
    </row>
    <row r="524" spans="1:13" x14ac:dyDescent="0.3">
      <c r="A524" s="2">
        <f>[1]HHS_Unaccompanied_Alien_Childre!G524</f>
        <v>45718</v>
      </c>
      <c r="B524">
        <f>[2]HHS_Unaccompanied_Alien_Childre!B524</f>
        <v>12</v>
      </c>
      <c r="C524">
        <f>[3]HHS_Unaccompanied_Alien_Childre!C524</f>
        <v>24</v>
      </c>
      <c r="D524">
        <f>[2]HHS_Unaccompanied_Alien_Childre!D524</f>
        <v>4</v>
      </c>
      <c r="E524">
        <f>[2]HHS_Unaccompanied_Alien_Childre!E524</f>
        <v>2297</v>
      </c>
      <c r="F524">
        <f>[3]HHS_Unaccompanied_Alien_Childre!F524</f>
        <v>31</v>
      </c>
      <c r="G524">
        <f t="shared" si="57"/>
        <v>-94</v>
      </c>
      <c r="H524" t="str">
        <f t="shared" si="58"/>
        <v>Decrease</v>
      </c>
      <c r="I524">
        <f t="shared" si="56"/>
        <v>8</v>
      </c>
      <c r="J524">
        <f t="shared" si="52"/>
        <v>2297</v>
      </c>
      <c r="K524">
        <f t="shared" si="53"/>
        <v>2528</v>
      </c>
      <c r="L524">
        <f t="shared" si="54"/>
        <v>2878</v>
      </c>
      <c r="M524">
        <f t="shared" si="55"/>
        <v>2459.5</v>
      </c>
    </row>
    <row r="525" spans="1:13" x14ac:dyDescent="0.3">
      <c r="A525" s="2">
        <f>[1]HHS_Unaccompanied_Alien_Childre!G525</f>
        <v>45719</v>
      </c>
      <c r="B525">
        <f>[2]HHS_Unaccompanied_Alien_Childre!B525</f>
        <v>8</v>
      </c>
      <c r="C525">
        <f>[3]HHS_Unaccompanied_Alien_Childre!C525</f>
        <v>29</v>
      </c>
      <c r="D525">
        <f>[2]HHS_Unaccompanied_Alien_Childre!D525</f>
        <v>18</v>
      </c>
      <c r="E525">
        <f>[2]HHS_Unaccompanied_Alien_Childre!E525</f>
        <v>2287</v>
      </c>
      <c r="F525">
        <f>[3]HHS_Unaccompanied_Alien_Childre!F525</f>
        <v>25</v>
      </c>
      <c r="G525">
        <f t="shared" si="57"/>
        <v>-10</v>
      </c>
      <c r="H525" t="str">
        <f t="shared" si="58"/>
        <v>Decrease</v>
      </c>
      <c r="I525">
        <f t="shared" si="56"/>
        <v>-10</v>
      </c>
      <c r="J525">
        <f t="shared" si="52"/>
        <v>2287</v>
      </c>
      <c r="K525">
        <f t="shared" si="53"/>
        <v>2520</v>
      </c>
      <c r="L525">
        <f t="shared" si="54"/>
        <v>2834</v>
      </c>
      <c r="M525">
        <f t="shared" si="55"/>
        <v>2408.5</v>
      </c>
    </row>
    <row r="526" spans="1:13" x14ac:dyDescent="0.3">
      <c r="A526" s="2">
        <f>[1]HHS_Unaccompanied_Alien_Childre!G526</f>
        <v>45720</v>
      </c>
      <c r="B526">
        <f>[2]HHS_Unaccompanied_Alien_Childre!B526</f>
        <v>4</v>
      </c>
      <c r="C526">
        <f>[3]HHS_Unaccompanied_Alien_Childre!C526</f>
        <v>25</v>
      </c>
      <c r="D526">
        <f>[2]HHS_Unaccompanied_Alien_Childre!D526</f>
        <v>10</v>
      </c>
      <c r="E526">
        <f>[2]HHS_Unaccompanied_Alien_Childre!E526</f>
        <v>2272</v>
      </c>
      <c r="F526">
        <f>[3]HHS_Unaccompanied_Alien_Childre!F526</f>
        <v>30</v>
      </c>
      <c r="G526">
        <f t="shared" si="57"/>
        <v>-15</v>
      </c>
      <c r="H526" t="str">
        <f t="shared" si="58"/>
        <v>Decrease</v>
      </c>
      <c r="I526">
        <f t="shared" si="56"/>
        <v>-6</v>
      </c>
      <c r="J526">
        <f t="shared" si="52"/>
        <v>2272</v>
      </c>
      <c r="K526">
        <f t="shared" si="53"/>
        <v>2423</v>
      </c>
      <c r="L526">
        <f t="shared" si="54"/>
        <v>2799</v>
      </c>
      <c r="M526">
        <f t="shared" si="55"/>
        <v>2355</v>
      </c>
    </row>
    <row r="527" spans="1:13" x14ac:dyDescent="0.3">
      <c r="A527" s="2">
        <f>[1]HHS_Unaccompanied_Alien_Childre!G527</f>
        <v>45721</v>
      </c>
      <c r="B527">
        <f>[2]HHS_Unaccompanied_Alien_Childre!B527</f>
        <v>5</v>
      </c>
      <c r="C527">
        <f>[3]HHS_Unaccompanied_Alien_Childre!C527</f>
        <v>20</v>
      </c>
      <c r="D527">
        <f>[2]HHS_Unaccompanied_Alien_Childre!D527</f>
        <v>4</v>
      </c>
      <c r="E527">
        <f>[2]HHS_Unaccompanied_Alien_Childre!E527</f>
        <v>2238</v>
      </c>
      <c r="F527">
        <f>[3]HHS_Unaccompanied_Alien_Childre!F527</f>
        <v>40</v>
      </c>
      <c r="G527">
        <f t="shared" si="57"/>
        <v>-34</v>
      </c>
      <c r="H527" t="str">
        <f t="shared" si="58"/>
        <v>Decrease</v>
      </c>
      <c r="I527">
        <f t="shared" si="56"/>
        <v>1</v>
      </c>
      <c r="J527">
        <f t="shared" si="52"/>
        <v>2238</v>
      </c>
      <c r="K527">
        <f t="shared" si="53"/>
        <v>2413</v>
      </c>
      <c r="L527">
        <f t="shared" si="54"/>
        <v>2752</v>
      </c>
      <c r="M527">
        <f t="shared" si="55"/>
        <v>2342.5</v>
      </c>
    </row>
    <row r="528" spans="1:13" x14ac:dyDescent="0.3">
      <c r="A528" s="2">
        <f>[1]HHS_Unaccompanied_Alien_Childre!G528</f>
        <v>45722</v>
      </c>
      <c r="B528">
        <f>[2]HHS_Unaccompanied_Alien_Childre!B528</f>
        <v>7</v>
      </c>
      <c r="C528">
        <f>[3]HHS_Unaccompanied_Alien_Childre!C528</f>
        <v>27</v>
      </c>
      <c r="D528">
        <f>[2]HHS_Unaccompanied_Alien_Childre!D528</f>
        <v>6</v>
      </c>
      <c r="E528">
        <f>[2]HHS_Unaccompanied_Alien_Childre!E528</f>
        <v>2218</v>
      </c>
      <c r="F528">
        <f>[3]HHS_Unaccompanied_Alien_Childre!F528</f>
        <v>33</v>
      </c>
      <c r="G528">
        <f t="shared" si="57"/>
        <v>-20</v>
      </c>
      <c r="H528" t="str">
        <f t="shared" si="58"/>
        <v>Decrease</v>
      </c>
      <c r="I528">
        <f t="shared" si="56"/>
        <v>1</v>
      </c>
      <c r="J528">
        <f t="shared" si="52"/>
        <v>2218</v>
      </c>
      <c r="K528">
        <f t="shared" si="53"/>
        <v>2413</v>
      </c>
      <c r="L528">
        <f t="shared" si="54"/>
        <v>2703</v>
      </c>
      <c r="M528">
        <f t="shared" si="55"/>
        <v>2325.5</v>
      </c>
    </row>
    <row r="529" spans="1:13" x14ac:dyDescent="0.3">
      <c r="A529" s="2">
        <f>[1]HHS_Unaccompanied_Alien_Childre!G529</f>
        <v>45725</v>
      </c>
      <c r="B529">
        <f>[2]HHS_Unaccompanied_Alien_Childre!B529</f>
        <v>12</v>
      </c>
      <c r="C529">
        <f>[3]HHS_Unaccompanied_Alien_Childre!C529</f>
        <v>25</v>
      </c>
      <c r="D529">
        <f>[2]HHS_Unaccompanied_Alien_Childre!D529</f>
        <v>15</v>
      </c>
      <c r="E529">
        <f>[2]HHS_Unaccompanied_Alien_Childre!E529</f>
        <v>2137</v>
      </c>
      <c r="F529">
        <f>[3]HHS_Unaccompanied_Alien_Childre!F529</f>
        <v>30</v>
      </c>
      <c r="G529">
        <f t="shared" si="57"/>
        <v>-81</v>
      </c>
      <c r="H529" t="str">
        <f t="shared" si="58"/>
        <v>Decrease</v>
      </c>
      <c r="I529">
        <f t="shared" si="56"/>
        <v>-3</v>
      </c>
      <c r="J529">
        <f t="shared" ref="J529:J592" si="59">E529</f>
        <v>2137</v>
      </c>
      <c r="K529">
        <f t="shared" ref="K529:K592" si="60">E522</f>
        <v>2411</v>
      </c>
      <c r="L529">
        <f t="shared" ref="L529:L592" si="61">E515</f>
        <v>2532</v>
      </c>
      <c r="M529">
        <f t="shared" ref="M529:M592" si="62">AVERAGE(E522,E528)</f>
        <v>2314.5</v>
      </c>
    </row>
    <row r="530" spans="1:13" x14ac:dyDescent="0.3">
      <c r="A530" s="2">
        <f>[1]HHS_Unaccompanied_Alien_Childre!G530</f>
        <v>45726</v>
      </c>
      <c r="B530">
        <f>[2]HHS_Unaccompanied_Alien_Childre!B530</f>
        <v>6</v>
      </c>
      <c r="C530">
        <f>[3]HHS_Unaccompanied_Alien_Childre!C530</f>
        <v>28</v>
      </c>
      <c r="D530">
        <f>[2]HHS_Unaccompanied_Alien_Childre!D530</f>
        <v>8</v>
      </c>
      <c r="E530">
        <f>[2]HHS_Unaccompanied_Alien_Childre!E530</f>
        <v>2125</v>
      </c>
      <c r="F530">
        <f>[3]HHS_Unaccompanied_Alien_Childre!F530</f>
        <v>23</v>
      </c>
      <c r="G530">
        <f t="shared" si="57"/>
        <v>-12</v>
      </c>
      <c r="H530" t="str">
        <f t="shared" si="58"/>
        <v>Decrease</v>
      </c>
      <c r="I530">
        <f t="shared" si="56"/>
        <v>-2</v>
      </c>
      <c r="J530">
        <f t="shared" si="59"/>
        <v>2125</v>
      </c>
      <c r="K530">
        <f t="shared" si="60"/>
        <v>2391</v>
      </c>
      <c r="L530">
        <f t="shared" si="61"/>
        <v>2536</v>
      </c>
      <c r="M530">
        <f t="shared" si="62"/>
        <v>2264</v>
      </c>
    </row>
    <row r="531" spans="1:13" x14ac:dyDescent="0.3">
      <c r="A531" s="2">
        <f>[1]HHS_Unaccompanied_Alien_Childre!G531</f>
        <v>45727</v>
      </c>
      <c r="B531">
        <f>[2]HHS_Unaccompanied_Alien_Childre!B531</f>
        <v>3</v>
      </c>
      <c r="C531">
        <f>[3]HHS_Unaccompanied_Alien_Childre!C531</f>
        <v>11</v>
      </c>
      <c r="D531">
        <f>[2]HHS_Unaccompanied_Alien_Childre!D531</f>
        <v>7</v>
      </c>
      <c r="E531">
        <f>[2]HHS_Unaccompanied_Alien_Childre!E531</f>
        <v>2116</v>
      </c>
      <c r="F531">
        <f>[3]HHS_Unaccompanied_Alien_Childre!F531</f>
        <v>20</v>
      </c>
      <c r="G531">
        <f t="shared" si="57"/>
        <v>-9</v>
      </c>
      <c r="H531" t="str">
        <f t="shared" si="58"/>
        <v>Decrease</v>
      </c>
      <c r="I531">
        <f t="shared" si="56"/>
        <v>-4</v>
      </c>
      <c r="J531">
        <f t="shared" si="59"/>
        <v>2116</v>
      </c>
      <c r="K531">
        <f t="shared" si="60"/>
        <v>2297</v>
      </c>
      <c r="L531">
        <f t="shared" si="61"/>
        <v>2528</v>
      </c>
      <c r="M531">
        <f t="shared" si="62"/>
        <v>2211</v>
      </c>
    </row>
    <row r="532" spans="1:13" x14ac:dyDescent="0.3">
      <c r="A532" s="2">
        <f>[1]HHS_Unaccompanied_Alien_Childre!G532</f>
        <v>45728</v>
      </c>
      <c r="B532">
        <f>[2]HHS_Unaccompanied_Alien_Childre!B532</f>
        <v>6</v>
      </c>
      <c r="C532">
        <f>[3]HHS_Unaccompanied_Alien_Childre!C532</f>
        <v>18</v>
      </c>
      <c r="D532">
        <f>[2]HHS_Unaccompanied_Alien_Childre!D532</f>
        <v>2</v>
      </c>
      <c r="E532">
        <f>[2]HHS_Unaccompanied_Alien_Childre!E532</f>
        <v>2113</v>
      </c>
      <c r="F532">
        <f>[3]HHS_Unaccompanied_Alien_Childre!F532</f>
        <v>8</v>
      </c>
      <c r="G532">
        <f t="shared" si="57"/>
        <v>-3</v>
      </c>
      <c r="H532" t="str">
        <f t="shared" si="58"/>
        <v>Decrease</v>
      </c>
      <c r="I532">
        <f t="shared" si="56"/>
        <v>4</v>
      </c>
      <c r="J532">
        <f t="shared" si="59"/>
        <v>2113</v>
      </c>
      <c r="K532">
        <f t="shared" si="60"/>
        <v>2287</v>
      </c>
      <c r="L532">
        <f t="shared" si="61"/>
        <v>2520</v>
      </c>
      <c r="M532">
        <f t="shared" si="62"/>
        <v>2201.5</v>
      </c>
    </row>
    <row r="533" spans="1:13" x14ac:dyDescent="0.3">
      <c r="A533" s="2">
        <f>[1]HHS_Unaccompanied_Alien_Childre!G533</f>
        <v>45729</v>
      </c>
      <c r="B533">
        <f>[2]HHS_Unaccompanied_Alien_Childre!B533</f>
        <v>4</v>
      </c>
      <c r="C533">
        <f>[3]HHS_Unaccompanied_Alien_Childre!C533</f>
        <v>20</v>
      </c>
      <c r="D533">
        <f>[2]HHS_Unaccompanied_Alien_Childre!D533</f>
        <v>9</v>
      </c>
      <c r="E533">
        <f>[2]HHS_Unaccompanied_Alien_Childre!E533</f>
        <v>2116</v>
      </c>
      <c r="F533">
        <f>[3]HHS_Unaccompanied_Alien_Childre!F533</f>
        <v>6</v>
      </c>
      <c r="G533">
        <f t="shared" si="57"/>
        <v>3</v>
      </c>
      <c r="H533" t="str">
        <f t="shared" si="58"/>
        <v>Increase</v>
      </c>
      <c r="I533">
        <f t="shared" si="56"/>
        <v>-5</v>
      </c>
      <c r="J533">
        <f t="shared" si="59"/>
        <v>2116</v>
      </c>
      <c r="K533">
        <f t="shared" si="60"/>
        <v>2272</v>
      </c>
      <c r="L533">
        <f t="shared" si="61"/>
        <v>2423</v>
      </c>
      <c r="M533">
        <f t="shared" si="62"/>
        <v>2192.5</v>
      </c>
    </row>
    <row r="534" spans="1:13" x14ac:dyDescent="0.3">
      <c r="A534" s="2">
        <f>[1]HHS_Unaccompanied_Alien_Childre!G534</f>
        <v>45732</v>
      </c>
      <c r="B534">
        <f>[2]HHS_Unaccompanied_Alien_Childre!B534</f>
        <v>1</v>
      </c>
      <c r="C534">
        <f>[3]HHS_Unaccompanied_Alien_Childre!C534</f>
        <v>9</v>
      </c>
      <c r="D534">
        <f>[2]HHS_Unaccompanied_Alien_Childre!D534</f>
        <v>8</v>
      </c>
      <c r="E534">
        <f>[2]HHS_Unaccompanied_Alien_Childre!E534</f>
        <v>2117</v>
      </c>
      <c r="F534">
        <f>[3]HHS_Unaccompanied_Alien_Childre!F534</f>
        <v>5</v>
      </c>
      <c r="G534">
        <f t="shared" si="57"/>
        <v>1</v>
      </c>
      <c r="H534" t="str">
        <f t="shared" si="58"/>
        <v>Increase</v>
      </c>
      <c r="I534">
        <f t="shared" si="56"/>
        <v>-7</v>
      </c>
      <c r="J534">
        <f t="shared" si="59"/>
        <v>2117</v>
      </c>
      <c r="K534">
        <f t="shared" si="60"/>
        <v>2238</v>
      </c>
      <c r="L534">
        <f t="shared" si="61"/>
        <v>2413</v>
      </c>
      <c r="M534">
        <f t="shared" si="62"/>
        <v>2177</v>
      </c>
    </row>
    <row r="535" spans="1:13" x14ac:dyDescent="0.3">
      <c r="A535" s="2">
        <f>[1]HHS_Unaccompanied_Alien_Childre!G535</f>
        <v>45733</v>
      </c>
      <c r="B535">
        <f>[2]HHS_Unaccompanied_Alien_Childre!B535</f>
        <v>5</v>
      </c>
      <c r="C535">
        <f>[3]HHS_Unaccompanied_Alien_Childre!C535</f>
        <v>14</v>
      </c>
      <c r="D535">
        <f>[2]HHS_Unaccompanied_Alien_Childre!D535</f>
        <v>0</v>
      </c>
      <c r="E535">
        <f>[2]HHS_Unaccompanied_Alien_Childre!E535</f>
        <v>2111</v>
      </c>
      <c r="F535">
        <f>[3]HHS_Unaccompanied_Alien_Childre!F535</f>
        <v>8</v>
      </c>
      <c r="G535">
        <f t="shared" si="57"/>
        <v>-6</v>
      </c>
      <c r="H535" t="str">
        <f t="shared" si="58"/>
        <v>Decrease</v>
      </c>
      <c r="I535">
        <f t="shared" si="56"/>
        <v>5</v>
      </c>
      <c r="J535">
        <f t="shared" si="59"/>
        <v>2111</v>
      </c>
      <c r="K535">
        <f t="shared" si="60"/>
        <v>2218</v>
      </c>
      <c r="L535">
        <f t="shared" si="61"/>
        <v>2413</v>
      </c>
      <c r="M535">
        <f t="shared" si="62"/>
        <v>2167.5</v>
      </c>
    </row>
    <row r="536" spans="1:13" x14ac:dyDescent="0.3">
      <c r="A536" s="2">
        <f>[1]HHS_Unaccompanied_Alien_Childre!G536</f>
        <v>45734</v>
      </c>
      <c r="B536">
        <f>[2]HHS_Unaccompanied_Alien_Childre!B536</f>
        <v>19</v>
      </c>
      <c r="C536">
        <f>[3]HHS_Unaccompanied_Alien_Childre!C536</f>
        <v>34</v>
      </c>
      <c r="D536">
        <f>[2]HHS_Unaccompanied_Alien_Childre!D536</f>
        <v>6</v>
      </c>
      <c r="E536">
        <f>[2]HHS_Unaccompanied_Alien_Childre!E536</f>
        <v>2109</v>
      </c>
      <c r="F536">
        <f>[3]HHS_Unaccompanied_Alien_Childre!F536</f>
        <v>8</v>
      </c>
      <c r="G536">
        <f t="shared" si="57"/>
        <v>-2</v>
      </c>
      <c r="H536" t="str">
        <f t="shared" si="58"/>
        <v>Decrease</v>
      </c>
      <c r="I536">
        <f t="shared" si="56"/>
        <v>13</v>
      </c>
      <c r="J536">
        <f t="shared" si="59"/>
        <v>2109</v>
      </c>
      <c r="K536">
        <f t="shared" si="60"/>
        <v>2137</v>
      </c>
      <c r="L536">
        <f t="shared" si="61"/>
        <v>2411</v>
      </c>
      <c r="M536">
        <f t="shared" si="62"/>
        <v>2124</v>
      </c>
    </row>
    <row r="537" spans="1:13" x14ac:dyDescent="0.3">
      <c r="A537" s="2">
        <f>[1]HHS_Unaccompanied_Alien_Childre!G537</f>
        <v>45735</v>
      </c>
      <c r="B537">
        <f>[2]HHS_Unaccompanied_Alien_Childre!B537</f>
        <v>6</v>
      </c>
      <c r="C537">
        <f>[3]HHS_Unaccompanied_Alien_Childre!C537</f>
        <v>22</v>
      </c>
      <c r="D537">
        <f>[2]HHS_Unaccompanied_Alien_Childre!D537</f>
        <v>14</v>
      </c>
      <c r="E537">
        <f>[2]HHS_Unaccompanied_Alien_Childre!E537</f>
        <v>2119</v>
      </c>
      <c r="F537">
        <f>[3]HHS_Unaccompanied_Alien_Childre!F537</f>
        <v>9</v>
      </c>
      <c r="G537">
        <f t="shared" si="57"/>
        <v>10</v>
      </c>
      <c r="H537" t="str">
        <f t="shared" si="58"/>
        <v>Increase</v>
      </c>
      <c r="I537">
        <f t="shared" si="56"/>
        <v>-8</v>
      </c>
      <c r="J537">
        <f t="shared" si="59"/>
        <v>2119</v>
      </c>
      <c r="K537">
        <f t="shared" si="60"/>
        <v>2125</v>
      </c>
      <c r="L537">
        <f t="shared" si="61"/>
        <v>2391</v>
      </c>
      <c r="M537">
        <f t="shared" si="62"/>
        <v>2117</v>
      </c>
    </row>
    <row r="538" spans="1:13" x14ac:dyDescent="0.3">
      <c r="A538" s="2">
        <f>[1]HHS_Unaccompanied_Alien_Childre!G538</f>
        <v>45736</v>
      </c>
      <c r="B538">
        <f>[2]HHS_Unaccompanied_Alien_Childre!B538</f>
        <v>9</v>
      </c>
      <c r="C538">
        <f>[3]HHS_Unaccompanied_Alien_Childre!C538</f>
        <v>20</v>
      </c>
      <c r="D538">
        <f>[2]HHS_Unaccompanied_Alien_Childre!D538</f>
        <v>11</v>
      </c>
      <c r="E538">
        <f>[2]HHS_Unaccompanied_Alien_Childre!E538</f>
        <v>2124</v>
      </c>
      <c r="F538">
        <f>[3]HHS_Unaccompanied_Alien_Childre!F538</f>
        <v>7</v>
      </c>
      <c r="G538">
        <f t="shared" si="57"/>
        <v>5</v>
      </c>
      <c r="H538" t="str">
        <f t="shared" si="58"/>
        <v>Increase</v>
      </c>
      <c r="I538">
        <f t="shared" si="56"/>
        <v>-2</v>
      </c>
      <c r="J538">
        <f t="shared" si="59"/>
        <v>2124</v>
      </c>
      <c r="K538">
        <f t="shared" si="60"/>
        <v>2116</v>
      </c>
      <c r="L538">
        <f t="shared" si="61"/>
        <v>2297</v>
      </c>
      <c r="M538">
        <f t="shared" si="62"/>
        <v>2117.5</v>
      </c>
    </row>
    <row r="539" spans="1:13" x14ac:dyDescent="0.3">
      <c r="A539" s="2">
        <f>[1]HHS_Unaccompanied_Alien_Childre!G539</f>
        <v>45739</v>
      </c>
      <c r="B539">
        <f>[2]HHS_Unaccompanied_Alien_Childre!B539</f>
        <v>15</v>
      </c>
      <c r="C539">
        <f>[3]HHS_Unaccompanied_Alien_Childre!C539</f>
        <v>29</v>
      </c>
      <c r="D539">
        <f>[2]HHS_Unaccompanied_Alien_Childre!D539</f>
        <v>9</v>
      </c>
      <c r="E539">
        <f>[2]HHS_Unaccompanied_Alien_Childre!E539</f>
        <v>2136</v>
      </c>
      <c r="F539">
        <f>[3]HHS_Unaccompanied_Alien_Childre!F539</f>
        <v>2</v>
      </c>
      <c r="G539">
        <f t="shared" si="57"/>
        <v>12</v>
      </c>
      <c r="H539" t="str">
        <f t="shared" si="58"/>
        <v>Increase</v>
      </c>
      <c r="I539">
        <f t="shared" si="56"/>
        <v>6</v>
      </c>
      <c r="J539">
        <f t="shared" si="59"/>
        <v>2136</v>
      </c>
      <c r="K539">
        <f t="shared" si="60"/>
        <v>2113</v>
      </c>
      <c r="L539">
        <f t="shared" si="61"/>
        <v>2287</v>
      </c>
      <c r="M539">
        <f t="shared" si="62"/>
        <v>2118.5</v>
      </c>
    </row>
    <row r="540" spans="1:13" x14ac:dyDescent="0.3">
      <c r="A540" s="2">
        <f>[1]HHS_Unaccompanied_Alien_Childre!G540</f>
        <v>45740</v>
      </c>
      <c r="B540">
        <f>[2]HHS_Unaccompanied_Alien_Childre!B540</f>
        <v>7</v>
      </c>
      <c r="C540">
        <f>[3]HHS_Unaccompanied_Alien_Childre!C540</f>
        <v>13</v>
      </c>
      <c r="D540">
        <f>[2]HHS_Unaccompanied_Alien_Childre!D540</f>
        <v>11</v>
      </c>
      <c r="E540">
        <f>[2]HHS_Unaccompanied_Alien_Childre!E540</f>
        <v>2139</v>
      </c>
      <c r="F540">
        <f>[3]HHS_Unaccompanied_Alien_Childre!F540</f>
        <v>7</v>
      </c>
      <c r="G540">
        <f t="shared" si="57"/>
        <v>3</v>
      </c>
      <c r="H540" t="str">
        <f t="shared" si="58"/>
        <v>Increase</v>
      </c>
      <c r="I540">
        <f t="shared" si="56"/>
        <v>-4</v>
      </c>
      <c r="J540">
        <f t="shared" si="59"/>
        <v>2139</v>
      </c>
      <c r="K540">
        <f t="shared" si="60"/>
        <v>2116</v>
      </c>
      <c r="L540">
        <f t="shared" si="61"/>
        <v>2272</v>
      </c>
      <c r="M540">
        <f t="shared" si="62"/>
        <v>2126</v>
      </c>
    </row>
    <row r="541" spans="1:13" x14ac:dyDescent="0.3">
      <c r="A541" s="2">
        <f>[1]HHS_Unaccompanied_Alien_Childre!G541</f>
        <v>45741</v>
      </c>
      <c r="B541">
        <f>[2]HHS_Unaccompanied_Alien_Childre!B541</f>
        <v>12</v>
      </c>
      <c r="C541">
        <f>[3]HHS_Unaccompanied_Alien_Childre!C541</f>
        <v>19</v>
      </c>
      <c r="D541">
        <f>[2]HHS_Unaccompanied_Alien_Childre!D541</f>
        <v>7</v>
      </c>
      <c r="E541">
        <f>[2]HHS_Unaccompanied_Alien_Childre!E541</f>
        <v>2145</v>
      </c>
      <c r="F541">
        <f>[3]HHS_Unaccompanied_Alien_Childre!F541</f>
        <v>6</v>
      </c>
      <c r="G541">
        <f t="shared" si="57"/>
        <v>6</v>
      </c>
      <c r="H541" t="str">
        <f t="shared" si="58"/>
        <v>Increase</v>
      </c>
      <c r="I541">
        <f t="shared" si="56"/>
        <v>5</v>
      </c>
      <c r="J541">
        <f t="shared" si="59"/>
        <v>2145</v>
      </c>
      <c r="K541">
        <f t="shared" si="60"/>
        <v>2117</v>
      </c>
      <c r="L541">
        <f t="shared" si="61"/>
        <v>2238</v>
      </c>
      <c r="M541">
        <f t="shared" si="62"/>
        <v>2128</v>
      </c>
    </row>
    <row r="542" spans="1:13" x14ac:dyDescent="0.3">
      <c r="A542" s="2">
        <f>[1]HHS_Unaccompanied_Alien_Childre!G542</f>
        <v>45742</v>
      </c>
      <c r="B542">
        <f>[2]HHS_Unaccompanied_Alien_Childre!B542</f>
        <v>9</v>
      </c>
      <c r="C542">
        <f>[3]HHS_Unaccompanied_Alien_Childre!C542</f>
        <v>21</v>
      </c>
      <c r="D542">
        <f>[2]HHS_Unaccompanied_Alien_Childre!D542</f>
        <v>15</v>
      </c>
      <c r="E542">
        <f>[2]HHS_Unaccompanied_Alien_Childre!E542</f>
        <v>2159</v>
      </c>
      <c r="F542">
        <f>[3]HHS_Unaccompanied_Alien_Childre!F542</f>
        <v>2</v>
      </c>
      <c r="G542">
        <f t="shared" si="57"/>
        <v>14</v>
      </c>
      <c r="H542" t="str">
        <f t="shared" si="58"/>
        <v>Increase</v>
      </c>
      <c r="I542">
        <f t="shared" si="56"/>
        <v>-6</v>
      </c>
      <c r="J542">
        <f t="shared" si="59"/>
        <v>2159</v>
      </c>
      <c r="K542">
        <f t="shared" si="60"/>
        <v>2111</v>
      </c>
      <c r="L542">
        <f t="shared" si="61"/>
        <v>2218</v>
      </c>
      <c r="M542">
        <f t="shared" si="62"/>
        <v>2128</v>
      </c>
    </row>
    <row r="543" spans="1:13" x14ac:dyDescent="0.3">
      <c r="A543" s="2">
        <f>[1]HHS_Unaccompanied_Alien_Childre!G543</f>
        <v>45743</v>
      </c>
      <c r="B543">
        <f>[2]HHS_Unaccompanied_Alien_Childre!B543</f>
        <v>1</v>
      </c>
      <c r="C543">
        <f>[3]HHS_Unaccompanied_Alien_Childre!C543</f>
        <v>19</v>
      </c>
      <c r="D543">
        <f>[2]HHS_Unaccompanied_Alien_Childre!D543</f>
        <v>13</v>
      </c>
      <c r="E543">
        <f>[2]HHS_Unaccompanied_Alien_Childre!E543</f>
        <v>2159</v>
      </c>
      <c r="F543">
        <f>[3]HHS_Unaccompanied_Alien_Childre!F543</f>
        <v>2</v>
      </c>
      <c r="G543">
        <f t="shared" si="57"/>
        <v>0</v>
      </c>
      <c r="H543" t="str">
        <f t="shared" si="58"/>
        <v>No Change</v>
      </c>
      <c r="I543">
        <f t="shared" si="56"/>
        <v>-12</v>
      </c>
      <c r="J543">
        <f t="shared" si="59"/>
        <v>2159</v>
      </c>
      <c r="K543">
        <f t="shared" si="60"/>
        <v>2109</v>
      </c>
      <c r="L543">
        <f t="shared" si="61"/>
        <v>2137</v>
      </c>
      <c r="M543">
        <f t="shared" si="62"/>
        <v>2134</v>
      </c>
    </row>
    <row r="544" spans="1:13" x14ac:dyDescent="0.3">
      <c r="A544" s="2">
        <f>[1]HHS_Unaccompanied_Alien_Childre!G544</f>
        <v>45746</v>
      </c>
      <c r="B544">
        <f>[2]HHS_Unaccompanied_Alien_Childre!B544</f>
        <v>9</v>
      </c>
      <c r="C544">
        <f>[3]HHS_Unaccompanied_Alien_Childre!C544</f>
        <v>20</v>
      </c>
      <c r="D544">
        <f>[2]HHS_Unaccompanied_Alien_Childre!D544</f>
        <v>5</v>
      </c>
      <c r="E544">
        <f>[2]HHS_Unaccompanied_Alien_Childre!E544</f>
        <v>2188</v>
      </c>
      <c r="F544">
        <f>[3]HHS_Unaccompanied_Alien_Childre!F544</f>
        <v>2</v>
      </c>
      <c r="G544">
        <f t="shared" si="57"/>
        <v>29</v>
      </c>
      <c r="H544" t="str">
        <f t="shared" si="58"/>
        <v>Increase</v>
      </c>
      <c r="I544">
        <f t="shared" si="56"/>
        <v>4</v>
      </c>
      <c r="J544">
        <f t="shared" si="59"/>
        <v>2188</v>
      </c>
      <c r="K544">
        <f t="shared" si="60"/>
        <v>2119</v>
      </c>
      <c r="L544">
        <f t="shared" si="61"/>
        <v>2125</v>
      </c>
      <c r="M544">
        <f t="shared" si="62"/>
        <v>2139</v>
      </c>
    </row>
    <row r="545" spans="1:13" x14ac:dyDescent="0.3">
      <c r="A545" s="2">
        <f>[1]HHS_Unaccompanied_Alien_Childre!G545</f>
        <v>45747</v>
      </c>
      <c r="B545">
        <f>[2]HHS_Unaccompanied_Alien_Childre!B545</f>
        <v>9</v>
      </c>
      <c r="C545">
        <f>[3]HHS_Unaccompanied_Alien_Childre!C545</f>
        <v>25</v>
      </c>
      <c r="D545">
        <f>[2]HHS_Unaccompanied_Alien_Childre!D545</f>
        <v>8</v>
      </c>
      <c r="E545">
        <f>[2]HHS_Unaccompanied_Alien_Childre!E545</f>
        <v>2193</v>
      </c>
      <c r="F545">
        <f>[3]HHS_Unaccompanied_Alien_Childre!F545</f>
        <v>5</v>
      </c>
      <c r="G545">
        <f t="shared" si="57"/>
        <v>5</v>
      </c>
      <c r="H545" t="str">
        <f t="shared" si="58"/>
        <v>Increase</v>
      </c>
      <c r="I545">
        <f t="shared" si="56"/>
        <v>1</v>
      </c>
      <c r="J545">
        <f t="shared" si="59"/>
        <v>2193</v>
      </c>
      <c r="K545">
        <f t="shared" si="60"/>
        <v>2124</v>
      </c>
      <c r="L545">
        <f t="shared" si="61"/>
        <v>2116</v>
      </c>
      <c r="M545">
        <f t="shared" si="62"/>
        <v>2156</v>
      </c>
    </row>
    <row r="546" spans="1:13" x14ac:dyDescent="0.3">
      <c r="A546" s="2">
        <f>[1]HHS_Unaccompanied_Alien_Childre!G546</f>
        <v>45748</v>
      </c>
      <c r="B546">
        <f>[2]HHS_Unaccompanied_Alien_Childre!B546</f>
        <v>17</v>
      </c>
      <c r="C546">
        <f>[3]HHS_Unaccompanied_Alien_Childre!C546</f>
        <v>36</v>
      </c>
      <c r="D546">
        <f>[2]HHS_Unaccompanied_Alien_Childre!D546</f>
        <v>7</v>
      </c>
      <c r="E546">
        <f>[2]HHS_Unaccompanied_Alien_Childre!E546</f>
        <v>2191</v>
      </c>
      <c r="F546">
        <f>[3]HHS_Unaccompanied_Alien_Childre!F546</f>
        <v>12</v>
      </c>
      <c r="G546">
        <f t="shared" si="57"/>
        <v>-2</v>
      </c>
      <c r="H546" t="str">
        <f t="shared" si="58"/>
        <v>Decrease</v>
      </c>
      <c r="I546">
        <f t="shared" si="56"/>
        <v>10</v>
      </c>
      <c r="J546">
        <f t="shared" si="59"/>
        <v>2191</v>
      </c>
      <c r="K546">
        <f t="shared" si="60"/>
        <v>2136</v>
      </c>
      <c r="L546">
        <f t="shared" si="61"/>
        <v>2113</v>
      </c>
      <c r="M546">
        <f t="shared" si="62"/>
        <v>2164.5</v>
      </c>
    </row>
    <row r="547" spans="1:13" x14ac:dyDescent="0.3">
      <c r="A547" s="2">
        <f>[1]HHS_Unaccompanied_Alien_Childre!G547</f>
        <v>45749</v>
      </c>
      <c r="B547">
        <f>[2]HHS_Unaccompanied_Alien_Childre!B547</f>
        <v>5</v>
      </c>
      <c r="C547">
        <f>[3]HHS_Unaccompanied_Alien_Childre!C547</f>
        <v>31</v>
      </c>
      <c r="D547">
        <f>[2]HHS_Unaccompanied_Alien_Childre!D547</f>
        <v>16</v>
      </c>
      <c r="E547">
        <f>[2]HHS_Unaccompanied_Alien_Childre!E547</f>
        <v>2208</v>
      </c>
      <c r="F547">
        <f>[3]HHS_Unaccompanied_Alien_Childre!F547</f>
        <v>3</v>
      </c>
      <c r="G547">
        <f t="shared" si="57"/>
        <v>17</v>
      </c>
      <c r="H547" t="str">
        <f t="shared" si="58"/>
        <v>Increase</v>
      </c>
      <c r="I547">
        <f t="shared" si="56"/>
        <v>-11</v>
      </c>
      <c r="J547">
        <f t="shared" si="59"/>
        <v>2208</v>
      </c>
      <c r="K547">
        <f t="shared" si="60"/>
        <v>2139</v>
      </c>
      <c r="L547">
        <f t="shared" si="61"/>
        <v>2116</v>
      </c>
      <c r="M547">
        <f t="shared" si="62"/>
        <v>2165</v>
      </c>
    </row>
    <row r="548" spans="1:13" x14ac:dyDescent="0.3">
      <c r="A548" s="2">
        <f>[1]HHS_Unaccompanied_Alien_Childre!G548</f>
        <v>45750</v>
      </c>
      <c r="B548">
        <f>[2]HHS_Unaccompanied_Alien_Childre!B548</f>
        <v>12</v>
      </c>
      <c r="C548">
        <f>[3]HHS_Unaccompanied_Alien_Childre!C548</f>
        <v>26</v>
      </c>
      <c r="D548">
        <f>[2]HHS_Unaccompanied_Alien_Childre!D548</f>
        <v>18</v>
      </c>
      <c r="E548">
        <f>[2]HHS_Unaccompanied_Alien_Childre!E548</f>
        <v>2223</v>
      </c>
      <c r="F548">
        <f>[3]HHS_Unaccompanied_Alien_Childre!F548</f>
        <v>8</v>
      </c>
      <c r="G548">
        <f t="shared" si="57"/>
        <v>15</v>
      </c>
      <c r="H548" t="str">
        <f t="shared" si="58"/>
        <v>Increase</v>
      </c>
      <c r="I548">
        <f t="shared" si="56"/>
        <v>-6</v>
      </c>
      <c r="J548">
        <f t="shared" si="59"/>
        <v>2223</v>
      </c>
      <c r="K548">
        <f t="shared" si="60"/>
        <v>2145</v>
      </c>
      <c r="L548">
        <f t="shared" si="61"/>
        <v>2117</v>
      </c>
      <c r="M548">
        <f t="shared" si="62"/>
        <v>2176.5</v>
      </c>
    </row>
    <row r="549" spans="1:13" x14ac:dyDescent="0.3">
      <c r="A549" s="2">
        <f>[1]HHS_Unaccompanied_Alien_Childre!G549</f>
        <v>45753</v>
      </c>
      <c r="B549">
        <f>[2]HHS_Unaccompanied_Alien_Childre!B549</f>
        <v>7</v>
      </c>
      <c r="C549">
        <f>[3]HHS_Unaccompanied_Alien_Childre!C549</f>
        <v>14</v>
      </c>
      <c r="D549">
        <f>[2]HHS_Unaccompanied_Alien_Childre!D549</f>
        <v>7</v>
      </c>
      <c r="E549">
        <f>[2]HHS_Unaccompanied_Alien_Childre!E549</f>
        <v>2234</v>
      </c>
      <c r="F549">
        <f>[3]HHS_Unaccompanied_Alien_Childre!F549</f>
        <v>11</v>
      </c>
      <c r="G549">
        <f t="shared" si="57"/>
        <v>11</v>
      </c>
      <c r="H549" t="str">
        <f t="shared" si="58"/>
        <v>Increase</v>
      </c>
      <c r="I549">
        <f t="shared" si="56"/>
        <v>0</v>
      </c>
      <c r="J549">
        <f t="shared" si="59"/>
        <v>2234</v>
      </c>
      <c r="K549">
        <f t="shared" si="60"/>
        <v>2159</v>
      </c>
      <c r="L549">
        <f t="shared" si="61"/>
        <v>2111</v>
      </c>
      <c r="M549">
        <f t="shared" si="62"/>
        <v>2191</v>
      </c>
    </row>
    <row r="550" spans="1:13" x14ac:dyDescent="0.3">
      <c r="A550" s="2">
        <f>[1]HHS_Unaccompanied_Alien_Childre!G550</f>
        <v>45754</v>
      </c>
      <c r="B550">
        <f>[2]HHS_Unaccompanied_Alien_Childre!B550</f>
        <v>12</v>
      </c>
      <c r="C550">
        <f>[3]HHS_Unaccompanied_Alien_Childre!C550</f>
        <v>22</v>
      </c>
      <c r="D550">
        <f>[2]HHS_Unaccompanied_Alien_Childre!D550</f>
        <v>9</v>
      </c>
      <c r="E550">
        <f>[2]HHS_Unaccompanied_Alien_Childre!E550</f>
        <v>2237</v>
      </c>
      <c r="F550">
        <f>[3]HHS_Unaccompanied_Alien_Childre!F550</f>
        <v>5</v>
      </c>
      <c r="G550">
        <f t="shared" si="57"/>
        <v>3</v>
      </c>
      <c r="H550" t="str">
        <f t="shared" si="58"/>
        <v>Increase</v>
      </c>
      <c r="I550">
        <f t="shared" si="56"/>
        <v>3</v>
      </c>
      <c r="J550">
        <f t="shared" si="59"/>
        <v>2237</v>
      </c>
      <c r="K550">
        <f t="shared" si="60"/>
        <v>2159</v>
      </c>
      <c r="L550">
        <f t="shared" si="61"/>
        <v>2109</v>
      </c>
      <c r="M550">
        <f t="shared" si="62"/>
        <v>2196.5</v>
      </c>
    </row>
    <row r="551" spans="1:13" x14ac:dyDescent="0.3">
      <c r="A551" s="2">
        <f>[1]HHS_Unaccompanied_Alien_Childre!G551</f>
        <v>45755</v>
      </c>
      <c r="B551">
        <f>[2]HHS_Unaccompanied_Alien_Childre!B551</f>
        <v>12</v>
      </c>
      <c r="C551">
        <f>[3]HHS_Unaccompanied_Alien_Childre!C551</f>
        <v>34</v>
      </c>
      <c r="D551">
        <f>[2]HHS_Unaccompanied_Alien_Childre!D551</f>
        <v>12</v>
      </c>
      <c r="E551">
        <f>[2]HHS_Unaccompanied_Alien_Childre!E551</f>
        <v>2243</v>
      </c>
      <c r="F551">
        <f>[3]HHS_Unaccompanied_Alien_Childre!F551</f>
        <v>9</v>
      </c>
      <c r="G551">
        <f t="shared" si="57"/>
        <v>6</v>
      </c>
      <c r="H551" t="str">
        <f t="shared" si="58"/>
        <v>Increase</v>
      </c>
      <c r="I551">
        <f t="shared" si="56"/>
        <v>0</v>
      </c>
      <c r="J551">
        <f t="shared" si="59"/>
        <v>2243</v>
      </c>
      <c r="K551">
        <f t="shared" si="60"/>
        <v>2188</v>
      </c>
      <c r="L551">
        <f t="shared" si="61"/>
        <v>2119</v>
      </c>
      <c r="M551">
        <f t="shared" si="62"/>
        <v>2212.5</v>
      </c>
    </row>
    <row r="552" spans="1:13" x14ac:dyDescent="0.3">
      <c r="A552" s="2">
        <f>[1]HHS_Unaccompanied_Alien_Childre!G552</f>
        <v>45756</v>
      </c>
      <c r="B552">
        <f>[2]HHS_Unaccompanied_Alien_Childre!B552</f>
        <v>6</v>
      </c>
      <c r="C552">
        <f>[3]HHS_Unaccompanied_Alien_Childre!C552</f>
        <v>19</v>
      </c>
      <c r="D552">
        <f>[2]HHS_Unaccompanied_Alien_Childre!D552</f>
        <v>10</v>
      </c>
      <c r="E552">
        <f>[2]HHS_Unaccompanied_Alien_Childre!E552</f>
        <v>2251</v>
      </c>
      <c r="F552">
        <f>[3]HHS_Unaccompanied_Alien_Childre!F552</f>
        <v>5</v>
      </c>
      <c r="G552">
        <f t="shared" si="57"/>
        <v>8</v>
      </c>
      <c r="H552" t="str">
        <f t="shared" si="58"/>
        <v>Increase</v>
      </c>
      <c r="I552">
        <f t="shared" si="56"/>
        <v>-4</v>
      </c>
      <c r="J552">
        <f t="shared" si="59"/>
        <v>2251</v>
      </c>
      <c r="K552">
        <f t="shared" si="60"/>
        <v>2193</v>
      </c>
      <c r="L552">
        <f t="shared" si="61"/>
        <v>2124</v>
      </c>
      <c r="M552">
        <f t="shared" si="62"/>
        <v>2218</v>
      </c>
    </row>
    <row r="553" spans="1:13" x14ac:dyDescent="0.3">
      <c r="A553" s="2">
        <f>[1]HHS_Unaccompanied_Alien_Childre!G553</f>
        <v>45757</v>
      </c>
      <c r="B553">
        <f>[2]HHS_Unaccompanied_Alien_Childre!B553</f>
        <v>18</v>
      </c>
      <c r="C553">
        <f>[3]HHS_Unaccompanied_Alien_Childre!C553</f>
        <v>25</v>
      </c>
      <c r="D553">
        <f>[2]HHS_Unaccompanied_Alien_Childre!D553</f>
        <v>17</v>
      </c>
      <c r="E553">
        <f>[2]HHS_Unaccompanied_Alien_Childre!E553</f>
        <v>2265</v>
      </c>
      <c r="F553">
        <f>[3]HHS_Unaccompanied_Alien_Childre!F553</f>
        <v>6</v>
      </c>
      <c r="G553">
        <f t="shared" si="57"/>
        <v>14</v>
      </c>
      <c r="H553" t="str">
        <f t="shared" si="58"/>
        <v>Increase</v>
      </c>
      <c r="I553">
        <f t="shared" si="56"/>
        <v>1</v>
      </c>
      <c r="J553">
        <f t="shared" si="59"/>
        <v>2265</v>
      </c>
      <c r="K553">
        <f t="shared" si="60"/>
        <v>2191</v>
      </c>
      <c r="L553">
        <f t="shared" si="61"/>
        <v>2136</v>
      </c>
      <c r="M553">
        <f t="shared" si="62"/>
        <v>2221</v>
      </c>
    </row>
    <row r="554" spans="1:13" x14ac:dyDescent="0.3">
      <c r="A554" s="2">
        <f>[1]HHS_Unaccompanied_Alien_Childre!G554</f>
        <v>45758</v>
      </c>
      <c r="B554">
        <f>[2]HHS_Unaccompanied_Alien_Childre!B554</f>
        <v>8</v>
      </c>
      <c r="C554">
        <f>[3]HHS_Unaccompanied_Alien_Childre!C554</f>
        <v>22</v>
      </c>
      <c r="D554">
        <f>[2]HHS_Unaccompanied_Alien_Childre!D554</f>
        <v>8</v>
      </c>
      <c r="E554">
        <f>[2]HHS_Unaccompanied_Alien_Childre!E554</f>
        <v>2267</v>
      </c>
      <c r="F554">
        <f>[3]HHS_Unaccompanied_Alien_Childre!F554</f>
        <v>9</v>
      </c>
      <c r="G554">
        <f t="shared" si="57"/>
        <v>2</v>
      </c>
      <c r="H554" t="str">
        <f t="shared" si="58"/>
        <v>Increase</v>
      </c>
      <c r="I554">
        <f t="shared" si="56"/>
        <v>0</v>
      </c>
      <c r="J554">
        <f t="shared" si="59"/>
        <v>2267</v>
      </c>
      <c r="K554">
        <f t="shared" si="60"/>
        <v>2208</v>
      </c>
      <c r="L554">
        <f t="shared" si="61"/>
        <v>2139</v>
      </c>
      <c r="M554">
        <f t="shared" si="62"/>
        <v>2236.5</v>
      </c>
    </row>
    <row r="555" spans="1:13" x14ac:dyDescent="0.3">
      <c r="A555" s="2">
        <f>[1]HHS_Unaccompanied_Alien_Childre!G555</f>
        <v>45760</v>
      </c>
      <c r="B555">
        <f>[2]HHS_Unaccompanied_Alien_Childre!B555</f>
        <v>5</v>
      </c>
      <c r="C555">
        <f>[3]HHS_Unaccompanied_Alien_Childre!C555</f>
        <v>26</v>
      </c>
      <c r="D555">
        <f>[2]HHS_Unaccompanied_Alien_Childre!D555</f>
        <v>10</v>
      </c>
      <c r="E555">
        <f>[2]HHS_Unaccompanied_Alien_Childre!E555</f>
        <v>2283</v>
      </c>
      <c r="F555">
        <f>[3]HHS_Unaccompanied_Alien_Childre!F555</f>
        <v>3</v>
      </c>
      <c r="G555">
        <f t="shared" si="57"/>
        <v>16</v>
      </c>
      <c r="H555" t="str">
        <f t="shared" si="58"/>
        <v>Increase</v>
      </c>
      <c r="I555">
        <f t="shared" si="56"/>
        <v>-5</v>
      </c>
      <c r="J555">
        <f t="shared" si="59"/>
        <v>2283</v>
      </c>
      <c r="K555">
        <f t="shared" si="60"/>
        <v>2223</v>
      </c>
      <c r="L555">
        <f t="shared" si="61"/>
        <v>2145</v>
      </c>
      <c r="M555">
        <f t="shared" si="62"/>
        <v>2245</v>
      </c>
    </row>
    <row r="556" spans="1:13" x14ac:dyDescent="0.3">
      <c r="A556" s="2">
        <f>[1]HHS_Unaccompanied_Alien_Childre!G556</f>
        <v>45761</v>
      </c>
      <c r="B556">
        <f>[2]HHS_Unaccompanied_Alien_Childre!B556</f>
        <v>5</v>
      </c>
      <c r="C556">
        <f>[3]HHS_Unaccompanied_Alien_Childre!C556</f>
        <v>26</v>
      </c>
      <c r="D556">
        <f>[2]HHS_Unaccompanied_Alien_Childre!D556</f>
        <v>9</v>
      </c>
      <c r="E556">
        <f>[2]HHS_Unaccompanied_Alien_Childre!E556</f>
        <v>2282</v>
      </c>
      <c r="F556">
        <f>[3]HHS_Unaccompanied_Alien_Childre!F556</f>
        <v>13</v>
      </c>
      <c r="G556">
        <f t="shared" si="57"/>
        <v>-1</v>
      </c>
      <c r="H556" t="str">
        <f t="shared" si="58"/>
        <v>Decrease</v>
      </c>
      <c r="I556">
        <f t="shared" si="56"/>
        <v>-4</v>
      </c>
      <c r="J556">
        <f t="shared" si="59"/>
        <v>2282</v>
      </c>
      <c r="K556">
        <f t="shared" si="60"/>
        <v>2234</v>
      </c>
      <c r="L556">
        <f t="shared" si="61"/>
        <v>2159</v>
      </c>
      <c r="M556">
        <f t="shared" si="62"/>
        <v>2258.5</v>
      </c>
    </row>
    <row r="557" spans="1:13" x14ac:dyDescent="0.3">
      <c r="A557" s="2">
        <f>[1]HHS_Unaccompanied_Alien_Childre!G557</f>
        <v>45762</v>
      </c>
      <c r="B557">
        <f>[2]HHS_Unaccompanied_Alien_Childre!B557</f>
        <v>4</v>
      </c>
      <c r="C557">
        <f>[3]HHS_Unaccompanied_Alien_Childre!C557</f>
        <v>19</v>
      </c>
      <c r="D557">
        <f>[2]HHS_Unaccompanied_Alien_Childre!D557</f>
        <v>12</v>
      </c>
      <c r="E557">
        <f>[2]HHS_Unaccompanied_Alien_Childre!E557</f>
        <v>2286</v>
      </c>
      <c r="F557">
        <f>[3]HHS_Unaccompanied_Alien_Childre!F557</f>
        <v>7</v>
      </c>
      <c r="G557">
        <f t="shared" si="57"/>
        <v>4</v>
      </c>
      <c r="H557" t="str">
        <f t="shared" si="58"/>
        <v>Increase</v>
      </c>
      <c r="I557">
        <f t="shared" si="56"/>
        <v>-8</v>
      </c>
      <c r="J557">
        <f t="shared" si="59"/>
        <v>2286</v>
      </c>
      <c r="K557">
        <f t="shared" si="60"/>
        <v>2237</v>
      </c>
      <c r="L557">
        <f t="shared" si="61"/>
        <v>2159</v>
      </c>
      <c r="M557">
        <f t="shared" si="62"/>
        <v>2259.5</v>
      </c>
    </row>
    <row r="558" spans="1:13" x14ac:dyDescent="0.3">
      <c r="A558" s="2">
        <f>[1]HHS_Unaccompanied_Alien_Childre!G558</f>
        <v>45763</v>
      </c>
      <c r="B558">
        <f>[2]HHS_Unaccompanied_Alien_Childre!B558</f>
        <v>11</v>
      </c>
      <c r="C558">
        <f>[3]HHS_Unaccompanied_Alien_Childre!C558</f>
        <v>30</v>
      </c>
      <c r="D558">
        <f>[2]HHS_Unaccompanied_Alien_Childre!D558</f>
        <v>5</v>
      </c>
      <c r="E558">
        <f>[2]HHS_Unaccompanied_Alien_Childre!E558</f>
        <v>2291</v>
      </c>
      <c r="F558">
        <f>[3]HHS_Unaccompanied_Alien_Childre!F558</f>
        <v>8</v>
      </c>
      <c r="G558">
        <f t="shared" si="57"/>
        <v>5</v>
      </c>
      <c r="H558" t="str">
        <f t="shared" si="58"/>
        <v>Increase</v>
      </c>
      <c r="I558">
        <f t="shared" si="56"/>
        <v>6</v>
      </c>
      <c r="J558">
        <f t="shared" si="59"/>
        <v>2291</v>
      </c>
      <c r="K558">
        <f t="shared" si="60"/>
        <v>2243</v>
      </c>
      <c r="L558">
        <f t="shared" si="61"/>
        <v>2188</v>
      </c>
      <c r="M558">
        <f t="shared" si="62"/>
        <v>2264.5</v>
      </c>
    </row>
    <row r="559" spans="1:13" x14ac:dyDescent="0.3">
      <c r="A559" s="2">
        <f>[1]HHS_Unaccompanied_Alien_Childre!G559</f>
        <v>45764</v>
      </c>
      <c r="B559">
        <f>[2]HHS_Unaccompanied_Alien_Childre!B559</f>
        <v>7</v>
      </c>
      <c r="C559">
        <f>[3]HHS_Unaccompanied_Alien_Childre!C559</f>
        <v>26</v>
      </c>
      <c r="D559">
        <f>[2]HHS_Unaccompanied_Alien_Childre!D559</f>
        <v>10</v>
      </c>
      <c r="E559">
        <f>[2]HHS_Unaccompanied_Alien_Childre!E559</f>
        <v>2288</v>
      </c>
      <c r="F559">
        <f>[3]HHS_Unaccompanied_Alien_Childre!F559</f>
        <v>14</v>
      </c>
      <c r="G559">
        <f t="shared" si="57"/>
        <v>-3</v>
      </c>
      <c r="H559" t="str">
        <f t="shared" si="58"/>
        <v>Decrease</v>
      </c>
      <c r="I559">
        <f t="shared" si="56"/>
        <v>-3</v>
      </c>
      <c r="J559">
        <f t="shared" si="59"/>
        <v>2288</v>
      </c>
      <c r="K559">
        <f t="shared" si="60"/>
        <v>2251</v>
      </c>
      <c r="L559">
        <f t="shared" si="61"/>
        <v>2193</v>
      </c>
      <c r="M559">
        <f t="shared" si="62"/>
        <v>2271</v>
      </c>
    </row>
    <row r="560" spans="1:13" x14ac:dyDescent="0.3">
      <c r="A560" s="2">
        <f>[1]HHS_Unaccompanied_Alien_Childre!G560</f>
        <v>45767</v>
      </c>
      <c r="B560">
        <f>[2]HHS_Unaccompanied_Alien_Childre!B560</f>
        <v>4</v>
      </c>
      <c r="C560">
        <f>[3]HHS_Unaccompanied_Alien_Childre!C560</f>
        <v>15</v>
      </c>
      <c r="D560">
        <f>[2]HHS_Unaccompanied_Alien_Childre!D560</f>
        <v>6</v>
      </c>
      <c r="E560">
        <f>[2]HHS_Unaccompanied_Alien_Childre!E560</f>
        <v>2305</v>
      </c>
      <c r="F560">
        <f>[3]HHS_Unaccompanied_Alien_Childre!F560</f>
        <v>4</v>
      </c>
      <c r="G560">
        <f t="shared" si="57"/>
        <v>17</v>
      </c>
      <c r="H560" t="str">
        <f t="shared" si="58"/>
        <v>Increase</v>
      </c>
      <c r="I560">
        <f t="shared" si="56"/>
        <v>-2</v>
      </c>
      <c r="J560">
        <f t="shared" si="59"/>
        <v>2305</v>
      </c>
      <c r="K560">
        <f t="shared" si="60"/>
        <v>2265</v>
      </c>
      <c r="L560">
        <f t="shared" si="61"/>
        <v>2191</v>
      </c>
      <c r="M560">
        <f t="shared" si="62"/>
        <v>2276.5</v>
      </c>
    </row>
    <row r="561" spans="1:13" x14ac:dyDescent="0.3">
      <c r="A561" s="2">
        <f>[1]HHS_Unaccompanied_Alien_Childre!G561</f>
        <v>45768</v>
      </c>
      <c r="B561">
        <f>[2]HHS_Unaccompanied_Alien_Childre!B561</f>
        <v>10</v>
      </c>
      <c r="C561">
        <f>[3]HHS_Unaccompanied_Alien_Childre!C561</f>
        <v>25</v>
      </c>
      <c r="D561">
        <f>[2]HHS_Unaccompanied_Alien_Childre!D561</f>
        <v>5</v>
      </c>
      <c r="E561">
        <f>[2]HHS_Unaccompanied_Alien_Childre!E561</f>
        <v>2308</v>
      </c>
      <c r="F561">
        <f>[3]HHS_Unaccompanied_Alien_Childre!F561</f>
        <v>6</v>
      </c>
      <c r="G561">
        <f t="shared" si="57"/>
        <v>3</v>
      </c>
      <c r="H561" t="str">
        <f t="shared" si="58"/>
        <v>Increase</v>
      </c>
      <c r="I561">
        <f t="shared" si="56"/>
        <v>5</v>
      </c>
      <c r="J561">
        <f t="shared" si="59"/>
        <v>2308</v>
      </c>
      <c r="K561">
        <f t="shared" si="60"/>
        <v>2267</v>
      </c>
      <c r="L561">
        <f t="shared" si="61"/>
        <v>2208</v>
      </c>
      <c r="M561">
        <f t="shared" si="62"/>
        <v>2286</v>
      </c>
    </row>
    <row r="562" spans="1:13" x14ac:dyDescent="0.3">
      <c r="A562" s="2">
        <f>[1]HHS_Unaccompanied_Alien_Childre!G562</f>
        <v>45769</v>
      </c>
      <c r="B562">
        <f>[2]HHS_Unaccompanied_Alien_Childre!B562</f>
        <v>7</v>
      </c>
      <c r="C562">
        <f>[3]HHS_Unaccompanied_Alien_Childre!C562</f>
        <v>19</v>
      </c>
      <c r="D562">
        <f>[2]HHS_Unaccompanied_Alien_Childre!D562</f>
        <v>14</v>
      </c>
      <c r="E562">
        <f>[2]HHS_Unaccompanied_Alien_Childre!E562</f>
        <v>2305</v>
      </c>
      <c r="F562">
        <f>[3]HHS_Unaccompanied_Alien_Childre!F562</f>
        <v>17</v>
      </c>
      <c r="G562">
        <f t="shared" si="57"/>
        <v>-3</v>
      </c>
      <c r="H562" t="str">
        <f t="shared" si="58"/>
        <v>Decrease</v>
      </c>
      <c r="I562">
        <f t="shared" si="56"/>
        <v>-7</v>
      </c>
      <c r="J562">
        <f t="shared" si="59"/>
        <v>2305</v>
      </c>
      <c r="K562">
        <f t="shared" si="60"/>
        <v>2283</v>
      </c>
      <c r="L562">
        <f t="shared" si="61"/>
        <v>2223</v>
      </c>
      <c r="M562">
        <f t="shared" si="62"/>
        <v>2295.5</v>
      </c>
    </row>
    <row r="563" spans="1:13" x14ac:dyDescent="0.3">
      <c r="A563" s="2">
        <f>[1]HHS_Unaccompanied_Alien_Childre!G563</f>
        <v>45770</v>
      </c>
      <c r="B563">
        <f>[2]HHS_Unaccompanied_Alien_Childre!B563</f>
        <v>3</v>
      </c>
      <c r="C563">
        <f>[3]HHS_Unaccompanied_Alien_Childre!C563</f>
        <v>23</v>
      </c>
      <c r="D563">
        <f>[2]HHS_Unaccompanied_Alien_Childre!D563</f>
        <v>4</v>
      </c>
      <c r="E563">
        <f>[2]HHS_Unaccompanied_Alien_Childre!E563</f>
        <v>2300</v>
      </c>
      <c r="F563">
        <f>[3]HHS_Unaccompanied_Alien_Childre!F563</f>
        <v>11</v>
      </c>
      <c r="G563">
        <f t="shared" si="57"/>
        <v>-5</v>
      </c>
      <c r="H563" t="str">
        <f t="shared" si="58"/>
        <v>Decrease</v>
      </c>
      <c r="I563">
        <f t="shared" si="56"/>
        <v>-1</v>
      </c>
      <c r="J563">
        <f t="shared" si="59"/>
        <v>2300</v>
      </c>
      <c r="K563">
        <f t="shared" si="60"/>
        <v>2282</v>
      </c>
      <c r="L563">
        <f t="shared" si="61"/>
        <v>2234</v>
      </c>
      <c r="M563">
        <f t="shared" si="62"/>
        <v>2293.5</v>
      </c>
    </row>
    <row r="564" spans="1:13" x14ac:dyDescent="0.3">
      <c r="A564" s="2">
        <f>[1]HHS_Unaccompanied_Alien_Childre!G564</f>
        <v>45771</v>
      </c>
      <c r="B564">
        <f>[2]HHS_Unaccompanied_Alien_Childre!B564</f>
        <v>3</v>
      </c>
      <c r="C564">
        <f>[3]HHS_Unaccompanied_Alien_Childre!C564</f>
        <v>9</v>
      </c>
      <c r="D564">
        <f>[2]HHS_Unaccompanied_Alien_Childre!D564</f>
        <v>7</v>
      </c>
      <c r="E564">
        <f>[2]HHS_Unaccompanied_Alien_Childre!E564</f>
        <v>2294</v>
      </c>
      <c r="F564">
        <f>[3]HHS_Unaccompanied_Alien_Childre!F564</f>
        <v>13</v>
      </c>
      <c r="G564">
        <f t="shared" si="57"/>
        <v>-6</v>
      </c>
      <c r="H564" t="str">
        <f t="shared" si="58"/>
        <v>Decrease</v>
      </c>
      <c r="I564">
        <f t="shared" si="56"/>
        <v>-4</v>
      </c>
      <c r="J564">
        <f t="shared" si="59"/>
        <v>2294</v>
      </c>
      <c r="K564">
        <f t="shared" si="60"/>
        <v>2286</v>
      </c>
      <c r="L564">
        <f t="shared" si="61"/>
        <v>2237</v>
      </c>
      <c r="M564">
        <f t="shared" si="62"/>
        <v>2293</v>
      </c>
    </row>
    <row r="565" spans="1:13" x14ac:dyDescent="0.3">
      <c r="A565" s="2">
        <f>[1]HHS_Unaccompanied_Alien_Childre!G565</f>
        <v>45774</v>
      </c>
      <c r="B565">
        <f>[2]HHS_Unaccompanied_Alien_Childre!B565</f>
        <v>9</v>
      </c>
      <c r="C565">
        <f>[3]HHS_Unaccompanied_Alien_Childre!C565</f>
        <v>40</v>
      </c>
      <c r="D565">
        <f>[2]HHS_Unaccompanied_Alien_Childre!D565</f>
        <v>12</v>
      </c>
      <c r="E565">
        <f>[2]HHS_Unaccompanied_Alien_Childre!E565</f>
        <v>2301</v>
      </c>
      <c r="F565">
        <f>[3]HHS_Unaccompanied_Alien_Childre!F565</f>
        <v>4</v>
      </c>
      <c r="G565">
        <f t="shared" si="57"/>
        <v>7</v>
      </c>
      <c r="H565" t="str">
        <f t="shared" si="58"/>
        <v>Increase</v>
      </c>
      <c r="I565">
        <f t="shared" si="56"/>
        <v>-3</v>
      </c>
      <c r="J565">
        <f t="shared" si="59"/>
        <v>2301</v>
      </c>
      <c r="K565">
        <f t="shared" si="60"/>
        <v>2291</v>
      </c>
      <c r="L565">
        <f t="shared" si="61"/>
        <v>2243</v>
      </c>
      <c r="M565">
        <f t="shared" si="62"/>
        <v>2292.5</v>
      </c>
    </row>
    <row r="566" spans="1:13" x14ac:dyDescent="0.3">
      <c r="A566" s="2">
        <f>[1]HHS_Unaccompanied_Alien_Childre!G566</f>
        <v>45775</v>
      </c>
      <c r="B566">
        <f>[2]HHS_Unaccompanied_Alien_Childre!B566</f>
        <v>6</v>
      </c>
      <c r="C566">
        <f>[3]HHS_Unaccompanied_Alien_Childre!C566</f>
        <v>26</v>
      </c>
      <c r="D566">
        <f>[2]HHS_Unaccompanied_Alien_Childre!D566</f>
        <v>12</v>
      </c>
      <c r="E566">
        <f>[2]HHS_Unaccompanied_Alien_Childre!E566</f>
        <v>2307</v>
      </c>
      <c r="F566">
        <f>[3]HHS_Unaccompanied_Alien_Childre!F566</f>
        <v>8</v>
      </c>
      <c r="G566">
        <f t="shared" si="57"/>
        <v>6</v>
      </c>
      <c r="H566" t="str">
        <f t="shared" si="58"/>
        <v>Increase</v>
      </c>
      <c r="I566">
        <f t="shared" si="56"/>
        <v>-6</v>
      </c>
      <c r="J566">
        <f t="shared" si="59"/>
        <v>2307</v>
      </c>
      <c r="K566">
        <f t="shared" si="60"/>
        <v>2288</v>
      </c>
      <c r="L566">
        <f t="shared" si="61"/>
        <v>2251</v>
      </c>
      <c r="M566">
        <f t="shared" si="62"/>
        <v>2294.5</v>
      </c>
    </row>
    <row r="567" spans="1:13" x14ac:dyDescent="0.3">
      <c r="A567" s="2">
        <f>[1]HHS_Unaccompanied_Alien_Childre!G567</f>
        <v>45776</v>
      </c>
      <c r="B567">
        <f>[2]HHS_Unaccompanied_Alien_Childre!B567</f>
        <v>11</v>
      </c>
      <c r="C567">
        <f>[3]HHS_Unaccompanied_Alien_Childre!C567</f>
        <v>25</v>
      </c>
      <c r="D567">
        <f>[2]HHS_Unaccompanied_Alien_Childre!D567</f>
        <v>11</v>
      </c>
      <c r="E567">
        <f>[2]HHS_Unaccompanied_Alien_Childre!E567</f>
        <v>2304</v>
      </c>
      <c r="F567">
        <f>[3]HHS_Unaccompanied_Alien_Childre!F567</f>
        <v>15</v>
      </c>
      <c r="G567">
        <f t="shared" si="57"/>
        <v>-3</v>
      </c>
      <c r="H567" t="str">
        <f t="shared" si="58"/>
        <v>Decrease</v>
      </c>
      <c r="I567">
        <f t="shared" si="56"/>
        <v>0</v>
      </c>
      <c r="J567">
        <f t="shared" si="59"/>
        <v>2304</v>
      </c>
      <c r="K567">
        <f t="shared" si="60"/>
        <v>2305</v>
      </c>
      <c r="L567">
        <f t="shared" si="61"/>
        <v>2265</v>
      </c>
      <c r="M567">
        <f t="shared" si="62"/>
        <v>2306</v>
      </c>
    </row>
    <row r="568" spans="1:13" x14ac:dyDescent="0.3">
      <c r="A568" s="2">
        <f>[1]HHS_Unaccompanied_Alien_Childre!G568</f>
        <v>45777</v>
      </c>
      <c r="B568">
        <f>[2]HHS_Unaccompanied_Alien_Childre!B568</f>
        <v>7</v>
      </c>
      <c r="C568">
        <f>[3]HHS_Unaccompanied_Alien_Childre!C568</f>
        <v>34</v>
      </c>
      <c r="D568">
        <f>[2]HHS_Unaccompanied_Alien_Childre!D568</f>
        <v>9</v>
      </c>
      <c r="E568">
        <f>[2]HHS_Unaccompanied_Alien_Childre!E568</f>
        <v>2309</v>
      </c>
      <c r="F568">
        <f>[3]HHS_Unaccompanied_Alien_Childre!F568</f>
        <v>12</v>
      </c>
      <c r="G568">
        <f t="shared" si="57"/>
        <v>5</v>
      </c>
      <c r="H568" t="str">
        <f t="shared" si="58"/>
        <v>Increase</v>
      </c>
      <c r="I568">
        <f t="shared" si="56"/>
        <v>-2</v>
      </c>
      <c r="J568">
        <f t="shared" si="59"/>
        <v>2309</v>
      </c>
      <c r="K568">
        <f t="shared" si="60"/>
        <v>2308</v>
      </c>
      <c r="L568">
        <f t="shared" si="61"/>
        <v>2267</v>
      </c>
      <c r="M568">
        <f t="shared" si="62"/>
        <v>2306</v>
      </c>
    </row>
    <row r="569" spans="1:13" x14ac:dyDescent="0.3">
      <c r="A569" s="2">
        <f>[1]HHS_Unaccompanied_Alien_Childre!G569</f>
        <v>45778</v>
      </c>
      <c r="B569">
        <f>[2]HHS_Unaccompanied_Alien_Childre!B569</f>
        <v>13</v>
      </c>
      <c r="C569">
        <f>[3]HHS_Unaccompanied_Alien_Childre!C569</f>
        <v>32</v>
      </c>
      <c r="D569">
        <f>[2]HHS_Unaccompanied_Alien_Childre!D569</f>
        <v>14</v>
      </c>
      <c r="E569">
        <f>[2]HHS_Unaccompanied_Alien_Childre!E569</f>
        <v>2306</v>
      </c>
      <c r="F569">
        <f>[3]HHS_Unaccompanied_Alien_Childre!F569</f>
        <v>16</v>
      </c>
      <c r="G569">
        <f t="shared" si="57"/>
        <v>-3</v>
      </c>
      <c r="H569" t="str">
        <f t="shared" si="58"/>
        <v>Decrease</v>
      </c>
      <c r="I569">
        <f t="shared" si="56"/>
        <v>-1</v>
      </c>
      <c r="J569">
        <f t="shared" si="59"/>
        <v>2306</v>
      </c>
      <c r="K569">
        <f t="shared" si="60"/>
        <v>2305</v>
      </c>
      <c r="L569">
        <f t="shared" si="61"/>
        <v>2283</v>
      </c>
      <c r="M569">
        <f t="shared" si="62"/>
        <v>2307</v>
      </c>
    </row>
    <row r="570" spans="1:13" x14ac:dyDescent="0.3">
      <c r="A570" s="2">
        <f>[1]HHS_Unaccompanied_Alien_Childre!G570</f>
        <v>45781</v>
      </c>
      <c r="B570">
        <f>[2]HHS_Unaccompanied_Alien_Childre!B570</f>
        <v>9</v>
      </c>
      <c r="C570">
        <f>[3]HHS_Unaccompanied_Alien_Childre!C570</f>
        <v>31</v>
      </c>
      <c r="D570">
        <f>[2]HHS_Unaccompanied_Alien_Childre!D570</f>
        <v>10</v>
      </c>
      <c r="E570">
        <f>[2]HHS_Unaccompanied_Alien_Childre!E570</f>
        <v>2335</v>
      </c>
      <c r="F570">
        <f>[3]HHS_Unaccompanied_Alien_Childre!F570</f>
        <v>5</v>
      </c>
      <c r="G570">
        <f t="shared" si="57"/>
        <v>29</v>
      </c>
      <c r="H570" t="str">
        <f t="shared" si="58"/>
        <v>Increase</v>
      </c>
      <c r="I570">
        <f t="shared" si="56"/>
        <v>-1</v>
      </c>
      <c r="J570">
        <f t="shared" si="59"/>
        <v>2335</v>
      </c>
      <c r="K570">
        <f t="shared" si="60"/>
        <v>2300</v>
      </c>
      <c r="L570">
        <f t="shared" si="61"/>
        <v>2282</v>
      </c>
      <c r="M570">
        <f t="shared" si="62"/>
        <v>2303</v>
      </c>
    </row>
    <row r="571" spans="1:13" x14ac:dyDescent="0.3">
      <c r="A571" s="2">
        <f>[1]HHS_Unaccompanied_Alien_Childre!G571</f>
        <v>45782</v>
      </c>
      <c r="B571">
        <f>[2]HHS_Unaccompanied_Alien_Childre!B571</f>
        <v>15</v>
      </c>
      <c r="C571">
        <f>[3]HHS_Unaccompanied_Alien_Childre!C571</f>
        <v>44</v>
      </c>
      <c r="D571">
        <f>[2]HHS_Unaccompanied_Alien_Childre!D571</f>
        <v>20</v>
      </c>
      <c r="E571">
        <f>[2]HHS_Unaccompanied_Alien_Childre!E571</f>
        <v>2331</v>
      </c>
      <c r="F571">
        <f>[3]HHS_Unaccompanied_Alien_Childre!F571</f>
        <v>17</v>
      </c>
      <c r="G571">
        <f t="shared" si="57"/>
        <v>-4</v>
      </c>
      <c r="H571" t="str">
        <f t="shared" si="58"/>
        <v>Decrease</v>
      </c>
      <c r="I571">
        <f t="shared" si="56"/>
        <v>-5</v>
      </c>
      <c r="J571">
        <f t="shared" si="59"/>
        <v>2331</v>
      </c>
      <c r="K571">
        <f t="shared" si="60"/>
        <v>2294</v>
      </c>
      <c r="L571">
        <f t="shared" si="61"/>
        <v>2286</v>
      </c>
      <c r="M571">
        <f t="shared" si="62"/>
        <v>2314.5</v>
      </c>
    </row>
    <row r="572" spans="1:13" x14ac:dyDescent="0.3">
      <c r="A572" s="2">
        <f>[1]HHS_Unaccompanied_Alien_Childre!G572</f>
        <v>45783</v>
      </c>
      <c r="B572">
        <f>[2]HHS_Unaccompanied_Alien_Childre!B572</f>
        <v>10</v>
      </c>
      <c r="C572">
        <f>[3]HHS_Unaccompanied_Alien_Childre!C572</f>
        <v>33</v>
      </c>
      <c r="D572">
        <f>[2]HHS_Unaccompanied_Alien_Childre!D572</f>
        <v>16</v>
      </c>
      <c r="E572">
        <f>[2]HHS_Unaccompanied_Alien_Childre!E572</f>
        <v>2339</v>
      </c>
      <c r="F572">
        <f>[3]HHS_Unaccompanied_Alien_Childre!F572</f>
        <v>16</v>
      </c>
      <c r="G572">
        <f t="shared" si="57"/>
        <v>8</v>
      </c>
      <c r="H572" t="str">
        <f t="shared" si="58"/>
        <v>Increase</v>
      </c>
      <c r="I572">
        <f t="shared" si="56"/>
        <v>-6</v>
      </c>
      <c r="J572">
        <f t="shared" si="59"/>
        <v>2339</v>
      </c>
      <c r="K572">
        <f t="shared" si="60"/>
        <v>2301</v>
      </c>
      <c r="L572">
        <f t="shared" si="61"/>
        <v>2291</v>
      </c>
      <c r="M572">
        <f t="shared" si="62"/>
        <v>2316</v>
      </c>
    </row>
    <row r="573" spans="1:13" x14ac:dyDescent="0.3">
      <c r="A573" s="2">
        <f>[1]HHS_Unaccompanied_Alien_Childre!G573</f>
        <v>45784</v>
      </c>
      <c r="B573">
        <f>[2]HHS_Unaccompanied_Alien_Childre!B573</f>
        <v>10</v>
      </c>
      <c r="C573">
        <f>[3]HHS_Unaccompanied_Alien_Childre!C573</f>
        <v>30</v>
      </c>
      <c r="D573">
        <f>[2]HHS_Unaccompanied_Alien_Childre!D573</f>
        <v>15</v>
      </c>
      <c r="E573">
        <f>[2]HHS_Unaccompanied_Alien_Childre!E573</f>
        <v>2335</v>
      </c>
      <c r="F573">
        <f>[3]HHS_Unaccompanied_Alien_Childre!F573</f>
        <v>10</v>
      </c>
      <c r="G573">
        <f t="shared" si="57"/>
        <v>-4</v>
      </c>
      <c r="H573" t="str">
        <f t="shared" si="58"/>
        <v>Decrease</v>
      </c>
      <c r="I573">
        <f t="shared" si="56"/>
        <v>-5</v>
      </c>
      <c r="J573">
        <f t="shared" si="59"/>
        <v>2335</v>
      </c>
      <c r="K573">
        <f t="shared" si="60"/>
        <v>2307</v>
      </c>
      <c r="L573">
        <f t="shared" si="61"/>
        <v>2288</v>
      </c>
      <c r="M573">
        <f t="shared" si="62"/>
        <v>2323</v>
      </c>
    </row>
    <row r="574" spans="1:13" x14ac:dyDescent="0.3">
      <c r="A574" s="2">
        <f>[1]HHS_Unaccompanied_Alien_Childre!G574</f>
        <v>45785</v>
      </c>
      <c r="B574">
        <f>[2]HHS_Unaccompanied_Alien_Childre!B574</f>
        <v>15</v>
      </c>
      <c r="C574">
        <f>[3]HHS_Unaccompanied_Alien_Childre!C574</f>
        <v>24</v>
      </c>
      <c r="D574">
        <f>[2]HHS_Unaccompanied_Alien_Childre!D574</f>
        <v>16</v>
      </c>
      <c r="E574">
        <f>[2]HHS_Unaccompanied_Alien_Childre!E574</f>
        <v>2361</v>
      </c>
      <c r="F574">
        <f>[3]HHS_Unaccompanied_Alien_Childre!F574</f>
        <v>11</v>
      </c>
      <c r="G574">
        <f t="shared" si="57"/>
        <v>26</v>
      </c>
      <c r="H574" t="str">
        <f t="shared" si="58"/>
        <v>Increase</v>
      </c>
      <c r="I574">
        <f t="shared" si="56"/>
        <v>-1</v>
      </c>
      <c r="J574">
        <f t="shared" si="59"/>
        <v>2361</v>
      </c>
      <c r="K574">
        <f t="shared" si="60"/>
        <v>2304</v>
      </c>
      <c r="L574">
        <f t="shared" si="61"/>
        <v>2305</v>
      </c>
      <c r="M574">
        <f t="shared" si="62"/>
        <v>2319.5</v>
      </c>
    </row>
    <row r="575" spans="1:13" x14ac:dyDescent="0.3">
      <c r="A575" s="2">
        <f>[1]HHS_Unaccompanied_Alien_Childre!G575</f>
        <v>45788</v>
      </c>
      <c r="B575">
        <f>[2]HHS_Unaccompanied_Alien_Childre!B575</f>
        <v>15</v>
      </c>
      <c r="C575">
        <f>[3]HHS_Unaccompanied_Alien_Childre!C575</f>
        <v>20</v>
      </c>
      <c r="D575">
        <f>[2]HHS_Unaccompanied_Alien_Childre!D575</f>
        <v>12</v>
      </c>
      <c r="E575">
        <f>[2]HHS_Unaccompanied_Alien_Childre!E575</f>
        <v>2385</v>
      </c>
      <c r="F575">
        <f>[3]HHS_Unaccompanied_Alien_Childre!F575</f>
        <v>3</v>
      </c>
      <c r="G575">
        <f t="shared" si="57"/>
        <v>24</v>
      </c>
      <c r="H575" t="str">
        <f t="shared" si="58"/>
        <v>Increase</v>
      </c>
      <c r="I575">
        <f t="shared" si="56"/>
        <v>3</v>
      </c>
      <c r="J575">
        <f t="shared" si="59"/>
        <v>2385</v>
      </c>
      <c r="K575">
        <f t="shared" si="60"/>
        <v>2309</v>
      </c>
      <c r="L575">
        <f t="shared" si="61"/>
        <v>2308</v>
      </c>
      <c r="M575">
        <f t="shared" si="62"/>
        <v>2335</v>
      </c>
    </row>
    <row r="576" spans="1:13" x14ac:dyDescent="0.3">
      <c r="A576" s="2">
        <f>[1]HHS_Unaccompanied_Alien_Childre!G576</f>
        <v>45789</v>
      </c>
      <c r="B576">
        <f>[2]HHS_Unaccompanied_Alien_Childre!B576</f>
        <v>7</v>
      </c>
      <c r="C576">
        <f>[3]HHS_Unaccompanied_Alien_Childre!C576</f>
        <v>33</v>
      </c>
      <c r="D576">
        <f>[2]HHS_Unaccompanied_Alien_Childre!D576</f>
        <v>14</v>
      </c>
      <c r="E576">
        <f>[2]HHS_Unaccompanied_Alien_Childre!E576</f>
        <v>2392</v>
      </c>
      <c r="F576">
        <f>[3]HHS_Unaccompanied_Alien_Childre!F576</f>
        <v>7</v>
      </c>
      <c r="G576">
        <f t="shared" si="57"/>
        <v>7</v>
      </c>
      <c r="H576" t="str">
        <f t="shared" si="58"/>
        <v>Increase</v>
      </c>
      <c r="I576">
        <f t="shared" si="56"/>
        <v>-7</v>
      </c>
      <c r="J576">
        <f t="shared" si="59"/>
        <v>2392</v>
      </c>
      <c r="K576">
        <f t="shared" si="60"/>
        <v>2306</v>
      </c>
      <c r="L576">
        <f t="shared" si="61"/>
        <v>2305</v>
      </c>
      <c r="M576">
        <f t="shared" si="62"/>
        <v>2345.5</v>
      </c>
    </row>
    <row r="577" spans="1:13" x14ac:dyDescent="0.3">
      <c r="A577" s="2">
        <f>[1]HHS_Unaccompanied_Alien_Childre!G577</f>
        <v>45790</v>
      </c>
      <c r="B577">
        <f>[2]HHS_Unaccompanied_Alien_Childre!B577</f>
        <v>18</v>
      </c>
      <c r="C577">
        <f>[3]HHS_Unaccompanied_Alien_Childre!C577</f>
        <v>29</v>
      </c>
      <c r="D577">
        <f>[2]HHS_Unaccompanied_Alien_Childre!D577</f>
        <v>12</v>
      </c>
      <c r="E577">
        <f>[2]HHS_Unaccompanied_Alien_Childre!E577</f>
        <v>2394</v>
      </c>
      <c r="F577">
        <f>[3]HHS_Unaccompanied_Alien_Childre!F577</f>
        <v>11</v>
      </c>
      <c r="G577">
        <f t="shared" si="57"/>
        <v>2</v>
      </c>
      <c r="H577" t="str">
        <f t="shared" si="58"/>
        <v>Increase</v>
      </c>
      <c r="I577">
        <f t="shared" si="56"/>
        <v>6</v>
      </c>
      <c r="J577">
        <f t="shared" si="59"/>
        <v>2394</v>
      </c>
      <c r="K577">
        <f t="shared" si="60"/>
        <v>2335</v>
      </c>
      <c r="L577">
        <f t="shared" si="61"/>
        <v>2300</v>
      </c>
      <c r="M577">
        <f t="shared" si="62"/>
        <v>2363.5</v>
      </c>
    </row>
    <row r="578" spans="1:13" x14ac:dyDescent="0.3">
      <c r="A578" s="2">
        <f>[1]HHS_Unaccompanied_Alien_Childre!G578</f>
        <v>45791</v>
      </c>
      <c r="B578">
        <f>[2]HHS_Unaccompanied_Alien_Childre!B578</f>
        <v>7</v>
      </c>
      <c r="C578">
        <f>[3]HHS_Unaccompanied_Alien_Childre!C578</f>
        <v>30</v>
      </c>
      <c r="D578">
        <f>[2]HHS_Unaccompanied_Alien_Childre!D578</f>
        <v>14</v>
      </c>
      <c r="E578">
        <f>[2]HHS_Unaccompanied_Alien_Childre!E578</f>
        <v>2394</v>
      </c>
      <c r="F578">
        <f>[3]HHS_Unaccompanied_Alien_Childre!F578</f>
        <v>11</v>
      </c>
      <c r="G578">
        <f t="shared" si="57"/>
        <v>0</v>
      </c>
      <c r="H578" t="str">
        <f t="shared" si="58"/>
        <v>No Change</v>
      </c>
      <c r="I578">
        <f t="shared" si="56"/>
        <v>-7</v>
      </c>
      <c r="J578">
        <f t="shared" si="59"/>
        <v>2394</v>
      </c>
      <c r="K578">
        <f t="shared" si="60"/>
        <v>2331</v>
      </c>
      <c r="L578">
        <f t="shared" si="61"/>
        <v>2294</v>
      </c>
      <c r="M578">
        <f t="shared" si="62"/>
        <v>2362.5</v>
      </c>
    </row>
    <row r="579" spans="1:13" x14ac:dyDescent="0.3">
      <c r="A579" s="2">
        <f>[1]HHS_Unaccompanied_Alien_Childre!G579</f>
        <v>45792</v>
      </c>
      <c r="B579">
        <f>[2]HHS_Unaccompanied_Alien_Childre!B579</f>
        <v>15</v>
      </c>
      <c r="C579">
        <f>[3]HHS_Unaccompanied_Alien_Childre!C579</f>
        <v>31</v>
      </c>
      <c r="D579">
        <f>[2]HHS_Unaccompanied_Alien_Childre!D579</f>
        <v>14</v>
      </c>
      <c r="E579">
        <f>[2]HHS_Unaccompanied_Alien_Childre!E579</f>
        <v>2410</v>
      </c>
      <c r="F579">
        <f>[3]HHS_Unaccompanied_Alien_Childre!F579</f>
        <v>14</v>
      </c>
      <c r="G579">
        <f t="shared" si="57"/>
        <v>16</v>
      </c>
      <c r="H579" t="str">
        <f t="shared" si="58"/>
        <v>Increase</v>
      </c>
      <c r="I579">
        <f t="shared" ref="I579:I642" si="63">B579-D579</f>
        <v>1</v>
      </c>
      <c r="J579">
        <f t="shared" si="59"/>
        <v>2410</v>
      </c>
      <c r="K579">
        <f t="shared" si="60"/>
        <v>2339</v>
      </c>
      <c r="L579">
        <f t="shared" si="61"/>
        <v>2301</v>
      </c>
      <c r="M579">
        <f t="shared" si="62"/>
        <v>2366.5</v>
      </c>
    </row>
    <row r="580" spans="1:13" x14ac:dyDescent="0.3">
      <c r="A580" s="2">
        <f>[1]HHS_Unaccompanied_Alien_Childre!G580</f>
        <v>45795</v>
      </c>
      <c r="B580">
        <f>[2]HHS_Unaccompanied_Alien_Childre!B580</f>
        <v>13</v>
      </c>
      <c r="C580">
        <f>[3]HHS_Unaccompanied_Alien_Childre!C580</f>
        <v>28</v>
      </c>
      <c r="D580">
        <f>[2]HHS_Unaccompanied_Alien_Childre!D580</f>
        <v>14</v>
      </c>
      <c r="E580">
        <f>[2]HHS_Unaccompanied_Alien_Childre!E580</f>
        <v>2437</v>
      </c>
      <c r="F580">
        <f>[3]HHS_Unaccompanied_Alien_Childre!F580</f>
        <v>9</v>
      </c>
      <c r="G580">
        <f t="shared" ref="G580:G643" si="64">E580-E579</f>
        <v>27</v>
      </c>
      <c r="H580" t="str">
        <f t="shared" ref="H580:H643" si="65">IF(G580&gt;0,"Increase",IF(G580&lt;0,"Decrease","No Change"))</f>
        <v>Increase</v>
      </c>
      <c r="I580">
        <f t="shared" si="63"/>
        <v>-1</v>
      </c>
      <c r="J580">
        <f t="shared" si="59"/>
        <v>2437</v>
      </c>
      <c r="K580">
        <f t="shared" si="60"/>
        <v>2335</v>
      </c>
      <c r="L580">
        <f t="shared" si="61"/>
        <v>2307</v>
      </c>
      <c r="M580">
        <f t="shared" si="62"/>
        <v>2372.5</v>
      </c>
    </row>
    <row r="581" spans="1:13" x14ac:dyDescent="0.3">
      <c r="A581" s="2">
        <f>[1]HHS_Unaccompanied_Alien_Childre!G581</f>
        <v>45796</v>
      </c>
      <c r="B581">
        <f>[2]HHS_Unaccompanied_Alien_Childre!B581</f>
        <v>7</v>
      </c>
      <c r="C581">
        <f>[3]HHS_Unaccompanied_Alien_Childre!C581</f>
        <v>27</v>
      </c>
      <c r="D581">
        <f>[2]HHS_Unaccompanied_Alien_Childre!D581</f>
        <v>17</v>
      </c>
      <c r="E581">
        <f>[2]HHS_Unaccompanied_Alien_Childre!E581</f>
        <v>2457</v>
      </c>
      <c r="F581">
        <f>[3]HHS_Unaccompanied_Alien_Childre!F581</f>
        <v>6</v>
      </c>
      <c r="G581">
        <f t="shared" si="64"/>
        <v>20</v>
      </c>
      <c r="H581" t="str">
        <f t="shared" si="65"/>
        <v>Increase</v>
      </c>
      <c r="I581">
        <f t="shared" si="63"/>
        <v>-10</v>
      </c>
      <c r="J581">
        <f t="shared" si="59"/>
        <v>2457</v>
      </c>
      <c r="K581">
        <f t="shared" si="60"/>
        <v>2361</v>
      </c>
      <c r="L581">
        <f t="shared" si="61"/>
        <v>2304</v>
      </c>
      <c r="M581">
        <f t="shared" si="62"/>
        <v>2399</v>
      </c>
    </row>
    <row r="582" spans="1:13" x14ac:dyDescent="0.3">
      <c r="A582" s="2">
        <f>[1]HHS_Unaccompanied_Alien_Childre!G582</f>
        <v>45798</v>
      </c>
      <c r="B582">
        <f>[2]HHS_Unaccompanied_Alien_Childre!B582</f>
        <v>14</v>
      </c>
      <c r="C582">
        <f>[3]HHS_Unaccompanied_Alien_Childre!C582</f>
        <v>62</v>
      </c>
      <c r="D582">
        <f>[2]HHS_Unaccompanied_Alien_Childre!D582</f>
        <v>13</v>
      </c>
      <c r="E582">
        <f>[2]HHS_Unaccompanied_Alien_Childre!E582</f>
        <v>2467</v>
      </c>
      <c r="F582">
        <f>[3]HHS_Unaccompanied_Alien_Childre!F582</f>
        <v>18</v>
      </c>
      <c r="G582">
        <f t="shared" si="64"/>
        <v>10</v>
      </c>
      <c r="H582" t="str">
        <f t="shared" si="65"/>
        <v>Increase</v>
      </c>
      <c r="I582">
        <f t="shared" si="63"/>
        <v>1</v>
      </c>
      <c r="J582">
        <f t="shared" si="59"/>
        <v>2467</v>
      </c>
      <c r="K582">
        <f t="shared" si="60"/>
        <v>2385</v>
      </c>
      <c r="L582">
        <f t="shared" si="61"/>
        <v>2309</v>
      </c>
      <c r="M582">
        <f t="shared" si="62"/>
        <v>2421</v>
      </c>
    </row>
    <row r="583" spans="1:13" x14ac:dyDescent="0.3">
      <c r="A583" s="2">
        <f>[1]HHS_Unaccompanied_Alien_Childre!G583</f>
        <v>45799</v>
      </c>
      <c r="B583">
        <f>[2]HHS_Unaccompanied_Alien_Childre!B583</f>
        <v>18</v>
      </c>
      <c r="C583">
        <f>[3]HHS_Unaccompanied_Alien_Childre!C583</f>
        <v>36</v>
      </c>
      <c r="D583">
        <f>[2]HHS_Unaccompanied_Alien_Childre!D583</f>
        <v>17</v>
      </c>
      <c r="E583">
        <f>[2]HHS_Unaccompanied_Alien_Childre!E583</f>
        <v>2473</v>
      </c>
      <c r="F583">
        <f>[3]HHS_Unaccompanied_Alien_Childre!F583</f>
        <v>15</v>
      </c>
      <c r="G583">
        <f t="shared" si="64"/>
        <v>6</v>
      </c>
      <c r="H583" t="str">
        <f t="shared" si="65"/>
        <v>Increase</v>
      </c>
      <c r="I583">
        <f t="shared" si="63"/>
        <v>1</v>
      </c>
      <c r="J583">
        <f t="shared" si="59"/>
        <v>2473</v>
      </c>
      <c r="K583">
        <f t="shared" si="60"/>
        <v>2392</v>
      </c>
      <c r="L583">
        <f t="shared" si="61"/>
        <v>2306</v>
      </c>
      <c r="M583">
        <f t="shared" si="62"/>
        <v>2429.5</v>
      </c>
    </row>
    <row r="584" spans="1:13" x14ac:dyDescent="0.3">
      <c r="A584" s="2">
        <f>[1]HHS_Unaccompanied_Alien_Childre!G584</f>
        <v>45804</v>
      </c>
      <c r="B584">
        <f>[2]HHS_Unaccompanied_Alien_Childre!B584</f>
        <v>6</v>
      </c>
      <c r="C584">
        <f>[3]HHS_Unaccompanied_Alien_Childre!C584</f>
        <v>24</v>
      </c>
      <c r="D584">
        <f>[2]HHS_Unaccompanied_Alien_Childre!D584</f>
        <v>7</v>
      </c>
      <c r="E584">
        <f>[2]HHS_Unaccompanied_Alien_Childre!E584</f>
        <v>2504</v>
      </c>
      <c r="F584">
        <f>[3]HHS_Unaccompanied_Alien_Childre!F584</f>
        <v>11</v>
      </c>
      <c r="G584">
        <f t="shared" si="64"/>
        <v>31</v>
      </c>
      <c r="H584" t="str">
        <f t="shared" si="65"/>
        <v>Increase</v>
      </c>
      <c r="I584">
        <f t="shared" si="63"/>
        <v>-1</v>
      </c>
      <c r="J584">
        <f t="shared" si="59"/>
        <v>2504</v>
      </c>
      <c r="K584">
        <f t="shared" si="60"/>
        <v>2394</v>
      </c>
      <c r="L584">
        <f t="shared" si="61"/>
        <v>2335</v>
      </c>
      <c r="M584">
        <f t="shared" si="62"/>
        <v>2433.5</v>
      </c>
    </row>
    <row r="585" spans="1:13" x14ac:dyDescent="0.3">
      <c r="A585" s="2">
        <f>[1]HHS_Unaccompanied_Alien_Childre!G585</f>
        <v>45805</v>
      </c>
      <c r="B585">
        <f>[2]HHS_Unaccompanied_Alien_Childre!B585</f>
        <v>12</v>
      </c>
      <c r="C585">
        <f>[3]HHS_Unaccompanied_Alien_Childre!C585</f>
        <v>39</v>
      </c>
      <c r="D585">
        <f>[2]HHS_Unaccompanied_Alien_Childre!D585</f>
        <v>12</v>
      </c>
      <c r="E585">
        <f>[2]HHS_Unaccompanied_Alien_Childre!E585</f>
        <v>2499</v>
      </c>
      <c r="F585">
        <f>[3]HHS_Unaccompanied_Alien_Childre!F585</f>
        <v>14</v>
      </c>
      <c r="G585">
        <f t="shared" si="64"/>
        <v>-5</v>
      </c>
      <c r="H585" t="str">
        <f t="shared" si="65"/>
        <v>Decrease</v>
      </c>
      <c r="I585">
        <f t="shared" si="63"/>
        <v>0</v>
      </c>
      <c r="J585">
        <f t="shared" si="59"/>
        <v>2499</v>
      </c>
      <c r="K585">
        <f t="shared" si="60"/>
        <v>2394</v>
      </c>
      <c r="L585">
        <f t="shared" si="61"/>
        <v>2331</v>
      </c>
      <c r="M585">
        <f t="shared" si="62"/>
        <v>2449</v>
      </c>
    </row>
    <row r="586" spans="1:13" x14ac:dyDescent="0.3">
      <c r="A586" s="2">
        <f>[1]HHS_Unaccompanied_Alien_Childre!G586</f>
        <v>45806</v>
      </c>
      <c r="B586">
        <f>[2]HHS_Unaccompanied_Alien_Childre!B586</f>
        <v>13</v>
      </c>
      <c r="C586">
        <f>[3]HHS_Unaccompanied_Alien_Childre!C586</f>
        <v>38</v>
      </c>
      <c r="D586">
        <f>[2]HHS_Unaccompanied_Alien_Childre!D586</f>
        <v>15</v>
      </c>
      <c r="E586">
        <f>[2]HHS_Unaccompanied_Alien_Childre!E586</f>
        <v>2506</v>
      </c>
      <c r="F586">
        <f>[3]HHS_Unaccompanied_Alien_Childre!F586</f>
        <v>11</v>
      </c>
      <c r="G586">
        <f t="shared" si="64"/>
        <v>7</v>
      </c>
      <c r="H586" t="str">
        <f t="shared" si="65"/>
        <v>Increase</v>
      </c>
      <c r="I586">
        <f t="shared" si="63"/>
        <v>-2</v>
      </c>
      <c r="J586">
        <f t="shared" si="59"/>
        <v>2506</v>
      </c>
      <c r="K586">
        <f t="shared" si="60"/>
        <v>2410</v>
      </c>
      <c r="L586">
        <f t="shared" si="61"/>
        <v>2339</v>
      </c>
      <c r="M586">
        <f t="shared" si="62"/>
        <v>2454.5</v>
      </c>
    </row>
    <row r="587" spans="1:13" x14ac:dyDescent="0.3">
      <c r="A587" s="2">
        <f>[1]HHS_Unaccompanied_Alien_Childre!G587</f>
        <v>45809</v>
      </c>
      <c r="B587">
        <f>[2]HHS_Unaccompanied_Alien_Childre!B587</f>
        <v>8</v>
      </c>
      <c r="C587">
        <f>[3]HHS_Unaccompanied_Alien_Childre!C587</f>
        <v>24</v>
      </c>
      <c r="D587">
        <f>[2]HHS_Unaccompanied_Alien_Childre!D587</f>
        <v>16</v>
      </c>
      <c r="E587">
        <f>[2]HHS_Unaccompanied_Alien_Childre!E587</f>
        <v>2528</v>
      </c>
      <c r="F587">
        <f>[3]HHS_Unaccompanied_Alien_Childre!F587</f>
        <v>12</v>
      </c>
      <c r="G587">
        <f t="shared" si="64"/>
        <v>22</v>
      </c>
      <c r="H587" t="str">
        <f t="shared" si="65"/>
        <v>Increase</v>
      </c>
      <c r="I587">
        <f t="shared" si="63"/>
        <v>-8</v>
      </c>
      <c r="J587">
        <f t="shared" si="59"/>
        <v>2528</v>
      </c>
      <c r="K587">
        <f t="shared" si="60"/>
        <v>2437</v>
      </c>
      <c r="L587">
        <f t="shared" si="61"/>
        <v>2335</v>
      </c>
      <c r="M587">
        <f t="shared" si="62"/>
        <v>2471.5</v>
      </c>
    </row>
    <row r="588" spans="1:13" x14ac:dyDescent="0.3">
      <c r="A588" s="2">
        <f>[1]HHS_Unaccompanied_Alien_Childre!G588</f>
        <v>45810</v>
      </c>
      <c r="B588">
        <f>[2]HHS_Unaccompanied_Alien_Childre!B588</f>
        <v>10</v>
      </c>
      <c r="C588">
        <f>[3]HHS_Unaccompanied_Alien_Childre!C588</f>
        <v>19</v>
      </c>
      <c r="D588">
        <f>[2]HHS_Unaccompanied_Alien_Childre!D588</f>
        <v>5</v>
      </c>
      <c r="E588">
        <f>[2]HHS_Unaccompanied_Alien_Childre!E588</f>
        <v>2518</v>
      </c>
      <c r="F588">
        <f>[3]HHS_Unaccompanied_Alien_Childre!F588</f>
        <v>16</v>
      </c>
      <c r="G588">
        <f t="shared" si="64"/>
        <v>-10</v>
      </c>
      <c r="H588" t="str">
        <f t="shared" si="65"/>
        <v>Decrease</v>
      </c>
      <c r="I588">
        <f t="shared" si="63"/>
        <v>5</v>
      </c>
      <c r="J588">
        <f t="shared" si="59"/>
        <v>2518</v>
      </c>
      <c r="K588">
        <f t="shared" si="60"/>
        <v>2457</v>
      </c>
      <c r="L588">
        <f t="shared" si="61"/>
        <v>2361</v>
      </c>
      <c r="M588">
        <f t="shared" si="62"/>
        <v>2492.5</v>
      </c>
    </row>
    <row r="589" spans="1:13" x14ac:dyDescent="0.3">
      <c r="A589" s="2">
        <f>[1]HHS_Unaccompanied_Alien_Childre!G589</f>
        <v>45811</v>
      </c>
      <c r="B589">
        <f>[2]HHS_Unaccompanied_Alien_Childre!B589</f>
        <v>5</v>
      </c>
      <c r="C589">
        <f>[3]HHS_Unaccompanied_Alien_Childre!C589</f>
        <v>23</v>
      </c>
      <c r="D589">
        <f>[2]HHS_Unaccompanied_Alien_Childre!D589</f>
        <v>11</v>
      </c>
      <c r="E589">
        <f>[2]HHS_Unaccompanied_Alien_Childre!E589</f>
        <v>2519</v>
      </c>
      <c r="F589">
        <f>[3]HHS_Unaccompanied_Alien_Childre!F589</f>
        <v>15</v>
      </c>
      <c r="G589">
        <f t="shared" si="64"/>
        <v>1</v>
      </c>
      <c r="H589" t="str">
        <f t="shared" si="65"/>
        <v>Increase</v>
      </c>
      <c r="I589">
        <f t="shared" si="63"/>
        <v>-6</v>
      </c>
      <c r="J589">
        <f t="shared" si="59"/>
        <v>2519</v>
      </c>
      <c r="K589">
        <f t="shared" si="60"/>
        <v>2467</v>
      </c>
      <c r="L589">
        <f t="shared" si="61"/>
        <v>2385</v>
      </c>
      <c r="M589">
        <f t="shared" si="62"/>
        <v>2492.5</v>
      </c>
    </row>
    <row r="590" spans="1:13" x14ac:dyDescent="0.3">
      <c r="A590" s="2">
        <f>[1]HHS_Unaccompanied_Alien_Childre!G590</f>
        <v>45812</v>
      </c>
      <c r="B590">
        <f>[2]HHS_Unaccompanied_Alien_Childre!B590</f>
        <v>4</v>
      </c>
      <c r="C590">
        <f>[3]HHS_Unaccompanied_Alien_Childre!C590</f>
        <v>16</v>
      </c>
      <c r="D590">
        <f>[2]HHS_Unaccompanied_Alien_Childre!D590</f>
        <v>9</v>
      </c>
      <c r="E590">
        <f>[2]HHS_Unaccompanied_Alien_Childre!E590</f>
        <v>2516</v>
      </c>
      <c r="F590">
        <f>[3]HHS_Unaccompanied_Alien_Childre!F590</f>
        <v>16</v>
      </c>
      <c r="G590">
        <f t="shared" si="64"/>
        <v>-3</v>
      </c>
      <c r="H590" t="str">
        <f t="shared" si="65"/>
        <v>Decrease</v>
      </c>
      <c r="I590">
        <f t="shared" si="63"/>
        <v>-5</v>
      </c>
      <c r="J590">
        <f t="shared" si="59"/>
        <v>2516</v>
      </c>
      <c r="K590">
        <f t="shared" si="60"/>
        <v>2473</v>
      </c>
      <c r="L590">
        <f t="shared" si="61"/>
        <v>2392</v>
      </c>
      <c r="M590">
        <f t="shared" si="62"/>
        <v>2496</v>
      </c>
    </row>
    <row r="591" spans="1:13" x14ac:dyDescent="0.3">
      <c r="A591" s="2">
        <f>[1]HHS_Unaccompanied_Alien_Childre!G591</f>
        <v>45813</v>
      </c>
      <c r="B591">
        <f>[2]HHS_Unaccompanied_Alien_Childre!B591</f>
        <v>8</v>
      </c>
      <c r="C591">
        <f>[3]HHS_Unaccompanied_Alien_Childre!C591</f>
        <v>26</v>
      </c>
      <c r="D591">
        <f>[2]HHS_Unaccompanied_Alien_Childre!D591</f>
        <v>5</v>
      </c>
      <c r="E591">
        <f>[2]HHS_Unaccompanied_Alien_Childre!E591</f>
        <v>2503</v>
      </c>
      <c r="F591">
        <f>[3]HHS_Unaccompanied_Alien_Childre!F591</f>
        <v>21</v>
      </c>
      <c r="G591">
        <f t="shared" si="64"/>
        <v>-13</v>
      </c>
      <c r="H591" t="str">
        <f t="shared" si="65"/>
        <v>Decrease</v>
      </c>
      <c r="I591">
        <f t="shared" si="63"/>
        <v>3</v>
      </c>
      <c r="J591">
        <f t="shared" si="59"/>
        <v>2503</v>
      </c>
      <c r="K591">
        <f t="shared" si="60"/>
        <v>2504</v>
      </c>
      <c r="L591">
        <f t="shared" si="61"/>
        <v>2394</v>
      </c>
      <c r="M591">
        <f t="shared" si="62"/>
        <v>2510</v>
      </c>
    </row>
    <row r="592" spans="1:13" x14ac:dyDescent="0.3">
      <c r="A592" s="2">
        <f>[1]HHS_Unaccompanied_Alien_Childre!G592</f>
        <v>45816</v>
      </c>
      <c r="B592">
        <f>[2]HHS_Unaccompanied_Alien_Childre!B592</f>
        <v>10</v>
      </c>
      <c r="C592">
        <f>[3]HHS_Unaccompanied_Alien_Childre!C592</f>
        <v>16</v>
      </c>
      <c r="D592">
        <f>[2]HHS_Unaccompanied_Alien_Childre!D592</f>
        <v>15</v>
      </c>
      <c r="E592">
        <f>[2]HHS_Unaccompanied_Alien_Childre!E592</f>
        <v>2507</v>
      </c>
      <c r="F592">
        <f>[3]HHS_Unaccompanied_Alien_Childre!F592</f>
        <v>13</v>
      </c>
      <c r="G592">
        <f t="shared" si="64"/>
        <v>4</v>
      </c>
      <c r="H592" t="str">
        <f t="shared" si="65"/>
        <v>Increase</v>
      </c>
      <c r="I592">
        <f t="shared" si="63"/>
        <v>-5</v>
      </c>
      <c r="J592">
        <f t="shared" si="59"/>
        <v>2507</v>
      </c>
      <c r="K592">
        <f t="shared" si="60"/>
        <v>2499</v>
      </c>
      <c r="L592">
        <f t="shared" si="61"/>
        <v>2394</v>
      </c>
      <c r="M592">
        <f t="shared" si="62"/>
        <v>2501</v>
      </c>
    </row>
    <row r="593" spans="1:13" x14ac:dyDescent="0.3">
      <c r="A593" s="2">
        <f>[1]HHS_Unaccompanied_Alien_Childre!G593</f>
        <v>45817</v>
      </c>
      <c r="B593">
        <f>[2]HHS_Unaccompanied_Alien_Childre!B593</f>
        <v>8</v>
      </c>
      <c r="C593">
        <f>[3]HHS_Unaccompanied_Alien_Childre!C593</f>
        <v>21</v>
      </c>
      <c r="D593">
        <f>[2]HHS_Unaccompanied_Alien_Childre!D593</f>
        <v>14</v>
      </c>
      <c r="E593">
        <f>[2]HHS_Unaccompanied_Alien_Childre!E593</f>
        <v>2516</v>
      </c>
      <c r="F593">
        <f>[3]HHS_Unaccompanied_Alien_Childre!F593</f>
        <v>9</v>
      </c>
      <c r="G593">
        <f t="shared" si="64"/>
        <v>9</v>
      </c>
      <c r="H593" t="str">
        <f t="shared" si="65"/>
        <v>Increase</v>
      </c>
      <c r="I593">
        <f t="shared" si="63"/>
        <v>-6</v>
      </c>
      <c r="J593">
        <f t="shared" ref="J593:J656" si="66">E593</f>
        <v>2516</v>
      </c>
      <c r="K593">
        <f t="shared" ref="K593:K656" si="67">E586</f>
        <v>2506</v>
      </c>
      <c r="L593">
        <f t="shared" ref="L593:L656" si="68">E579</f>
        <v>2410</v>
      </c>
      <c r="M593">
        <f t="shared" ref="M593:M656" si="69">AVERAGE(E586,E592)</f>
        <v>2506.5</v>
      </c>
    </row>
    <row r="594" spans="1:13" x14ac:dyDescent="0.3">
      <c r="A594" s="2">
        <f>[1]HHS_Unaccompanied_Alien_Childre!G594</f>
        <v>45818</v>
      </c>
      <c r="B594">
        <f>[2]HHS_Unaccompanied_Alien_Childre!B594</f>
        <v>17</v>
      </c>
      <c r="C594">
        <f>[3]HHS_Unaccompanied_Alien_Childre!C594</f>
        <v>28</v>
      </c>
      <c r="D594">
        <f>[2]HHS_Unaccompanied_Alien_Childre!D594</f>
        <v>7</v>
      </c>
      <c r="E594">
        <f>[2]HHS_Unaccompanied_Alien_Childre!E594</f>
        <v>2511</v>
      </c>
      <c r="F594">
        <f>[3]HHS_Unaccompanied_Alien_Childre!F594</f>
        <v>12</v>
      </c>
      <c r="G594">
        <f t="shared" si="64"/>
        <v>-5</v>
      </c>
      <c r="H594" t="str">
        <f t="shared" si="65"/>
        <v>Decrease</v>
      </c>
      <c r="I594">
        <f t="shared" si="63"/>
        <v>10</v>
      </c>
      <c r="J594">
        <f t="shared" si="66"/>
        <v>2511</v>
      </c>
      <c r="K594">
        <f t="shared" si="67"/>
        <v>2528</v>
      </c>
      <c r="L594">
        <f t="shared" si="68"/>
        <v>2437</v>
      </c>
      <c r="M594">
        <f t="shared" si="69"/>
        <v>2522</v>
      </c>
    </row>
    <row r="595" spans="1:13" x14ac:dyDescent="0.3">
      <c r="A595" s="2">
        <f>[1]HHS_Unaccompanied_Alien_Childre!G595</f>
        <v>45825</v>
      </c>
      <c r="B595">
        <f>[2]HHS_Unaccompanied_Alien_Childre!B595</f>
        <v>7</v>
      </c>
      <c r="C595">
        <f>[3]HHS_Unaccompanied_Alien_Childre!C595</f>
        <v>24</v>
      </c>
      <c r="D595">
        <f>[2]HHS_Unaccompanied_Alien_Childre!D595</f>
        <v>10</v>
      </c>
      <c r="E595">
        <f>[2]HHS_Unaccompanied_Alien_Childre!E595</f>
        <v>2523</v>
      </c>
      <c r="F595">
        <f>[3]HHS_Unaccompanied_Alien_Childre!F595</f>
        <v>14</v>
      </c>
      <c r="G595">
        <f t="shared" si="64"/>
        <v>12</v>
      </c>
      <c r="H595" t="str">
        <f t="shared" si="65"/>
        <v>Increase</v>
      </c>
      <c r="I595">
        <f t="shared" si="63"/>
        <v>-3</v>
      </c>
      <c r="J595">
        <f t="shared" si="66"/>
        <v>2523</v>
      </c>
      <c r="K595">
        <f t="shared" si="67"/>
        <v>2518</v>
      </c>
      <c r="L595">
        <f t="shared" si="68"/>
        <v>2457</v>
      </c>
      <c r="M595">
        <f t="shared" si="69"/>
        <v>2514.5</v>
      </c>
    </row>
    <row r="596" spans="1:13" x14ac:dyDescent="0.3">
      <c r="A596" s="2">
        <f>[1]HHS_Unaccompanied_Alien_Childre!G596</f>
        <v>45827</v>
      </c>
      <c r="B596">
        <f>[2]HHS_Unaccompanied_Alien_Childre!B596</f>
        <v>8</v>
      </c>
      <c r="C596">
        <f>[3]HHS_Unaccompanied_Alien_Childre!C596</f>
        <v>19</v>
      </c>
      <c r="D596">
        <f>[2]HHS_Unaccompanied_Alien_Childre!D596</f>
        <v>7</v>
      </c>
      <c r="E596">
        <f>[2]HHS_Unaccompanied_Alien_Childre!E596</f>
        <v>2501</v>
      </c>
      <c r="F596">
        <f>[3]HHS_Unaccompanied_Alien_Childre!F596</f>
        <v>18</v>
      </c>
      <c r="G596">
        <f t="shared" si="64"/>
        <v>-22</v>
      </c>
      <c r="H596" t="str">
        <f t="shared" si="65"/>
        <v>Decrease</v>
      </c>
      <c r="I596">
        <f t="shared" si="63"/>
        <v>1</v>
      </c>
      <c r="J596">
        <f t="shared" si="66"/>
        <v>2501</v>
      </c>
      <c r="K596">
        <f t="shared" si="67"/>
        <v>2519</v>
      </c>
      <c r="L596">
        <f t="shared" si="68"/>
        <v>2467</v>
      </c>
      <c r="M596">
        <f t="shared" si="69"/>
        <v>2521</v>
      </c>
    </row>
    <row r="597" spans="1:13" x14ac:dyDescent="0.3">
      <c r="A597" s="2">
        <f>[1]HHS_Unaccompanied_Alien_Childre!G597</f>
        <v>45830</v>
      </c>
      <c r="B597">
        <f>[2]HHS_Unaccompanied_Alien_Childre!B597</f>
        <v>7</v>
      </c>
      <c r="C597">
        <f>[3]HHS_Unaccompanied_Alien_Childre!C597</f>
        <v>13</v>
      </c>
      <c r="D597">
        <f>[2]HHS_Unaccompanied_Alien_Childre!D597</f>
        <v>5</v>
      </c>
      <c r="E597">
        <f>[2]HHS_Unaccompanied_Alien_Childre!E597</f>
        <v>2508</v>
      </c>
      <c r="F597">
        <f>[3]HHS_Unaccompanied_Alien_Childre!F597</f>
        <v>7</v>
      </c>
      <c r="G597">
        <f t="shared" si="64"/>
        <v>7</v>
      </c>
      <c r="H597" t="str">
        <f t="shared" si="65"/>
        <v>Increase</v>
      </c>
      <c r="I597">
        <f t="shared" si="63"/>
        <v>2</v>
      </c>
      <c r="J597">
        <f t="shared" si="66"/>
        <v>2508</v>
      </c>
      <c r="K597">
        <f t="shared" si="67"/>
        <v>2516</v>
      </c>
      <c r="L597">
        <f t="shared" si="68"/>
        <v>2473</v>
      </c>
      <c r="M597">
        <f t="shared" si="69"/>
        <v>2508.5</v>
      </c>
    </row>
    <row r="598" spans="1:13" x14ac:dyDescent="0.3">
      <c r="A598" s="2">
        <f>[1]HHS_Unaccompanied_Alien_Childre!G598</f>
        <v>45831</v>
      </c>
      <c r="B598">
        <f>[2]HHS_Unaccompanied_Alien_Childre!B598</f>
        <v>3</v>
      </c>
      <c r="C598">
        <f>[3]HHS_Unaccompanied_Alien_Childre!C598</f>
        <v>15</v>
      </c>
      <c r="D598">
        <f>[2]HHS_Unaccompanied_Alien_Childre!D598</f>
        <v>5</v>
      </c>
      <c r="E598">
        <f>[2]HHS_Unaccompanied_Alien_Childre!E598</f>
        <v>2495</v>
      </c>
      <c r="F598">
        <f>[3]HHS_Unaccompanied_Alien_Childre!F598</f>
        <v>17</v>
      </c>
      <c r="G598">
        <f t="shared" si="64"/>
        <v>-13</v>
      </c>
      <c r="H598" t="str">
        <f t="shared" si="65"/>
        <v>Decrease</v>
      </c>
      <c r="I598">
        <f t="shared" si="63"/>
        <v>-2</v>
      </c>
      <c r="J598">
        <f t="shared" si="66"/>
        <v>2495</v>
      </c>
      <c r="K598">
        <f t="shared" si="67"/>
        <v>2503</v>
      </c>
      <c r="L598">
        <f t="shared" si="68"/>
        <v>2504</v>
      </c>
      <c r="M598">
        <f t="shared" si="69"/>
        <v>2505.5</v>
      </c>
    </row>
    <row r="599" spans="1:13" x14ac:dyDescent="0.3">
      <c r="A599" s="2">
        <f>[1]HHS_Unaccompanied_Alien_Childre!G599</f>
        <v>45832</v>
      </c>
      <c r="B599">
        <f>[2]HHS_Unaccompanied_Alien_Childre!B599</f>
        <v>5</v>
      </c>
      <c r="C599">
        <f>[3]HHS_Unaccompanied_Alien_Childre!C599</f>
        <v>20</v>
      </c>
      <c r="D599">
        <f>[2]HHS_Unaccompanied_Alien_Childre!D599</f>
        <v>5</v>
      </c>
      <c r="E599">
        <f>[2]HHS_Unaccompanied_Alien_Childre!E599</f>
        <v>2489</v>
      </c>
      <c r="F599">
        <f>[3]HHS_Unaccompanied_Alien_Childre!F599</f>
        <v>16</v>
      </c>
      <c r="G599">
        <f t="shared" si="64"/>
        <v>-6</v>
      </c>
      <c r="H599" t="str">
        <f t="shared" si="65"/>
        <v>Decrease</v>
      </c>
      <c r="I599">
        <f t="shared" si="63"/>
        <v>0</v>
      </c>
      <c r="J599">
        <f t="shared" si="66"/>
        <v>2489</v>
      </c>
      <c r="K599">
        <f t="shared" si="67"/>
        <v>2507</v>
      </c>
      <c r="L599">
        <f t="shared" si="68"/>
        <v>2499</v>
      </c>
      <c r="M599">
        <f t="shared" si="69"/>
        <v>2501</v>
      </c>
    </row>
    <row r="600" spans="1:13" x14ac:dyDescent="0.3">
      <c r="A600" s="2">
        <f>[1]HHS_Unaccompanied_Alien_Childre!G600</f>
        <v>45833</v>
      </c>
      <c r="B600">
        <f>[2]HHS_Unaccompanied_Alien_Childre!B600</f>
        <v>6</v>
      </c>
      <c r="C600">
        <f>[3]HHS_Unaccompanied_Alien_Childre!C600</f>
        <v>12</v>
      </c>
      <c r="D600">
        <f>[2]HHS_Unaccompanied_Alien_Childre!D600</f>
        <v>2</v>
      </c>
      <c r="E600">
        <f>[2]HHS_Unaccompanied_Alien_Childre!E600</f>
        <v>2470</v>
      </c>
      <c r="F600">
        <f>[3]HHS_Unaccompanied_Alien_Childre!F600</f>
        <v>24</v>
      </c>
      <c r="G600">
        <f t="shared" si="64"/>
        <v>-19</v>
      </c>
      <c r="H600" t="str">
        <f t="shared" si="65"/>
        <v>Decrease</v>
      </c>
      <c r="I600">
        <f t="shared" si="63"/>
        <v>4</v>
      </c>
      <c r="J600">
        <f t="shared" si="66"/>
        <v>2470</v>
      </c>
      <c r="K600">
        <f t="shared" si="67"/>
        <v>2516</v>
      </c>
      <c r="L600">
        <f t="shared" si="68"/>
        <v>2506</v>
      </c>
      <c r="M600">
        <f t="shared" si="69"/>
        <v>2502.5</v>
      </c>
    </row>
    <row r="601" spans="1:13" x14ac:dyDescent="0.3">
      <c r="A601" s="2">
        <f>[1]HHS_Unaccompanied_Alien_Childre!G601</f>
        <v>45834</v>
      </c>
      <c r="B601">
        <f>[2]HHS_Unaccompanied_Alien_Childre!B601</f>
        <v>3</v>
      </c>
      <c r="C601">
        <f>[3]HHS_Unaccompanied_Alien_Childre!C601</f>
        <v>9</v>
      </c>
      <c r="D601">
        <f>[2]HHS_Unaccompanied_Alien_Childre!D601</f>
        <v>7</v>
      </c>
      <c r="E601">
        <f>[2]HHS_Unaccompanied_Alien_Childre!E601</f>
        <v>2447</v>
      </c>
      <c r="F601">
        <f>[3]HHS_Unaccompanied_Alien_Childre!F601</f>
        <v>35</v>
      </c>
      <c r="G601">
        <f t="shared" si="64"/>
        <v>-23</v>
      </c>
      <c r="H601" t="str">
        <f t="shared" si="65"/>
        <v>Decrease</v>
      </c>
      <c r="I601">
        <f t="shared" si="63"/>
        <v>-4</v>
      </c>
      <c r="J601">
        <f t="shared" si="66"/>
        <v>2447</v>
      </c>
      <c r="K601">
        <f t="shared" si="67"/>
        <v>2511</v>
      </c>
      <c r="L601">
        <f t="shared" si="68"/>
        <v>2528</v>
      </c>
      <c r="M601">
        <f t="shared" si="69"/>
        <v>2490.5</v>
      </c>
    </row>
    <row r="602" spans="1:13" x14ac:dyDescent="0.3">
      <c r="A602" s="2">
        <f>[1]HHS_Unaccompanied_Alien_Childre!G602</f>
        <v>45837</v>
      </c>
      <c r="B602">
        <f>[2]HHS_Unaccompanied_Alien_Childre!B602</f>
        <v>5</v>
      </c>
      <c r="C602">
        <f>[3]HHS_Unaccompanied_Alien_Childre!C602</f>
        <v>17</v>
      </c>
      <c r="D602">
        <f>[2]HHS_Unaccompanied_Alien_Childre!D602</f>
        <v>7</v>
      </c>
      <c r="E602">
        <f>[2]HHS_Unaccompanied_Alien_Childre!E602</f>
        <v>2413</v>
      </c>
      <c r="F602">
        <f>[3]HHS_Unaccompanied_Alien_Childre!F602</f>
        <v>20</v>
      </c>
      <c r="G602">
        <f t="shared" si="64"/>
        <v>-34</v>
      </c>
      <c r="H602" t="str">
        <f t="shared" si="65"/>
        <v>Decrease</v>
      </c>
      <c r="I602">
        <f t="shared" si="63"/>
        <v>-2</v>
      </c>
      <c r="J602">
        <f t="shared" si="66"/>
        <v>2413</v>
      </c>
      <c r="K602">
        <f t="shared" si="67"/>
        <v>2523</v>
      </c>
      <c r="L602">
        <f t="shared" si="68"/>
        <v>2518</v>
      </c>
      <c r="M602">
        <f t="shared" si="69"/>
        <v>2485</v>
      </c>
    </row>
    <row r="603" spans="1:13" x14ac:dyDescent="0.3">
      <c r="A603" s="2">
        <f>[1]HHS_Unaccompanied_Alien_Childre!G603</f>
        <v>45838</v>
      </c>
      <c r="B603">
        <f>[2]HHS_Unaccompanied_Alien_Childre!B603</f>
        <v>9</v>
      </c>
      <c r="C603">
        <f>[3]HHS_Unaccompanied_Alien_Childre!C603</f>
        <v>22</v>
      </c>
      <c r="D603">
        <f>[2]HHS_Unaccompanied_Alien_Childre!D603</f>
        <v>8</v>
      </c>
      <c r="E603">
        <f>[2]HHS_Unaccompanied_Alien_Childre!E603</f>
        <v>2407</v>
      </c>
      <c r="F603">
        <f>[3]HHS_Unaccompanied_Alien_Childre!F603</f>
        <v>16</v>
      </c>
      <c r="G603">
        <f t="shared" si="64"/>
        <v>-6</v>
      </c>
      <c r="H603" t="str">
        <f t="shared" si="65"/>
        <v>Decrease</v>
      </c>
      <c r="I603">
        <f t="shared" si="63"/>
        <v>1</v>
      </c>
      <c r="J603">
        <f t="shared" si="66"/>
        <v>2407</v>
      </c>
      <c r="K603">
        <f t="shared" si="67"/>
        <v>2501</v>
      </c>
      <c r="L603">
        <f t="shared" si="68"/>
        <v>2519</v>
      </c>
      <c r="M603">
        <f t="shared" si="69"/>
        <v>2457</v>
      </c>
    </row>
    <row r="604" spans="1:13" x14ac:dyDescent="0.3">
      <c r="A604" s="2">
        <f>[1]HHS_Unaccompanied_Alien_Childre!G604</f>
        <v>45839</v>
      </c>
      <c r="B604">
        <f>[2]HHS_Unaccompanied_Alien_Childre!B604</f>
        <v>7</v>
      </c>
      <c r="C604">
        <f>[3]HHS_Unaccompanied_Alien_Childre!C604</f>
        <v>14</v>
      </c>
      <c r="D604">
        <f>[2]HHS_Unaccompanied_Alien_Childre!D604</f>
        <v>6</v>
      </c>
      <c r="E604">
        <f>[2]HHS_Unaccompanied_Alien_Childre!E604</f>
        <v>2391</v>
      </c>
      <c r="F604">
        <f>[3]HHS_Unaccompanied_Alien_Childre!F604</f>
        <v>22</v>
      </c>
      <c r="G604">
        <f t="shared" si="64"/>
        <v>-16</v>
      </c>
      <c r="H604" t="str">
        <f t="shared" si="65"/>
        <v>Decrease</v>
      </c>
      <c r="I604">
        <f t="shared" si="63"/>
        <v>1</v>
      </c>
      <c r="J604">
        <f t="shared" si="66"/>
        <v>2391</v>
      </c>
      <c r="K604">
        <f t="shared" si="67"/>
        <v>2508</v>
      </c>
      <c r="L604">
        <f t="shared" si="68"/>
        <v>2516</v>
      </c>
      <c r="M604">
        <f t="shared" si="69"/>
        <v>2457.5</v>
      </c>
    </row>
    <row r="605" spans="1:13" x14ac:dyDescent="0.3">
      <c r="A605" s="2">
        <f>[1]HHS_Unaccompanied_Alien_Childre!G605</f>
        <v>45840</v>
      </c>
      <c r="B605">
        <f>[2]HHS_Unaccompanied_Alien_Childre!B605</f>
        <v>8</v>
      </c>
      <c r="C605">
        <f>[3]HHS_Unaccompanied_Alien_Childre!C605</f>
        <v>20</v>
      </c>
      <c r="D605">
        <f>[2]HHS_Unaccompanied_Alien_Childre!D605</f>
        <v>9</v>
      </c>
      <c r="E605">
        <f>[2]HHS_Unaccompanied_Alien_Childre!E605</f>
        <v>2373</v>
      </c>
      <c r="F605">
        <f>[3]HHS_Unaccompanied_Alien_Childre!F605</f>
        <v>38</v>
      </c>
      <c r="G605">
        <f t="shared" si="64"/>
        <v>-18</v>
      </c>
      <c r="H605" t="str">
        <f t="shared" si="65"/>
        <v>Decrease</v>
      </c>
      <c r="I605">
        <f t="shared" si="63"/>
        <v>-1</v>
      </c>
      <c r="J605">
        <f t="shared" si="66"/>
        <v>2373</v>
      </c>
      <c r="K605">
        <f t="shared" si="67"/>
        <v>2495</v>
      </c>
      <c r="L605">
        <f t="shared" si="68"/>
        <v>2503</v>
      </c>
      <c r="M605">
        <f t="shared" si="69"/>
        <v>2443</v>
      </c>
    </row>
    <row r="606" spans="1:13" x14ac:dyDescent="0.3">
      <c r="A606" s="2">
        <f>[1]HHS_Unaccompanied_Alien_Childre!G606</f>
        <v>45844</v>
      </c>
      <c r="B606">
        <f>[2]HHS_Unaccompanied_Alien_Childre!B606</f>
        <v>4</v>
      </c>
      <c r="C606">
        <f>[3]HHS_Unaccompanied_Alien_Childre!C606</f>
        <v>17</v>
      </c>
      <c r="D606">
        <f>[2]HHS_Unaccompanied_Alien_Childre!D606</f>
        <v>2</v>
      </c>
      <c r="E606">
        <f>[2]HHS_Unaccompanied_Alien_Childre!E606</f>
        <v>2332</v>
      </c>
      <c r="F606">
        <f>[3]HHS_Unaccompanied_Alien_Childre!F606</f>
        <v>8</v>
      </c>
      <c r="G606">
        <f t="shared" si="64"/>
        <v>-41</v>
      </c>
      <c r="H606" t="str">
        <f t="shared" si="65"/>
        <v>Decrease</v>
      </c>
      <c r="I606">
        <f t="shared" si="63"/>
        <v>2</v>
      </c>
      <c r="J606">
        <f t="shared" si="66"/>
        <v>2332</v>
      </c>
      <c r="K606">
        <f t="shared" si="67"/>
        <v>2489</v>
      </c>
      <c r="L606">
        <f t="shared" si="68"/>
        <v>2507</v>
      </c>
      <c r="M606">
        <f t="shared" si="69"/>
        <v>2431</v>
      </c>
    </row>
    <row r="607" spans="1:13" x14ac:dyDescent="0.3">
      <c r="A607" s="2">
        <f>[1]HHS_Unaccompanied_Alien_Childre!G607</f>
        <v>45845</v>
      </c>
      <c r="B607">
        <f>[2]HHS_Unaccompanied_Alien_Childre!B607</f>
        <v>3</v>
      </c>
      <c r="C607">
        <f>[3]HHS_Unaccompanied_Alien_Childre!C607</f>
        <v>18</v>
      </c>
      <c r="D607">
        <f>[2]HHS_Unaccompanied_Alien_Childre!D607</f>
        <v>8</v>
      </c>
      <c r="E607">
        <f>[2]HHS_Unaccompanied_Alien_Childre!E607</f>
        <v>2317</v>
      </c>
      <c r="F607">
        <f>[3]HHS_Unaccompanied_Alien_Childre!F607</f>
        <v>20</v>
      </c>
      <c r="G607">
        <f t="shared" si="64"/>
        <v>-15</v>
      </c>
      <c r="H607" t="str">
        <f t="shared" si="65"/>
        <v>Decrease</v>
      </c>
      <c r="I607">
        <f t="shared" si="63"/>
        <v>-5</v>
      </c>
      <c r="J607">
        <f t="shared" si="66"/>
        <v>2317</v>
      </c>
      <c r="K607">
        <f t="shared" si="67"/>
        <v>2470</v>
      </c>
      <c r="L607">
        <f t="shared" si="68"/>
        <v>2516</v>
      </c>
      <c r="M607">
        <f t="shared" si="69"/>
        <v>2401</v>
      </c>
    </row>
    <row r="608" spans="1:13" x14ac:dyDescent="0.3">
      <c r="A608" s="2">
        <f>[1]HHS_Unaccompanied_Alien_Childre!G608</f>
        <v>45846</v>
      </c>
      <c r="B608">
        <f>[2]HHS_Unaccompanied_Alien_Childre!B608</f>
        <v>5</v>
      </c>
      <c r="C608">
        <f>[3]HHS_Unaccompanied_Alien_Childre!C608</f>
        <v>16</v>
      </c>
      <c r="D608">
        <f>[2]HHS_Unaccompanied_Alien_Childre!D608</f>
        <v>8</v>
      </c>
      <c r="E608">
        <f>[2]HHS_Unaccompanied_Alien_Childre!E608</f>
        <v>2306</v>
      </c>
      <c r="F608">
        <f>[3]HHS_Unaccompanied_Alien_Childre!F608</f>
        <v>20</v>
      </c>
      <c r="G608">
        <f t="shared" si="64"/>
        <v>-11</v>
      </c>
      <c r="H608" t="str">
        <f t="shared" si="65"/>
        <v>Decrease</v>
      </c>
      <c r="I608">
        <f t="shared" si="63"/>
        <v>-3</v>
      </c>
      <c r="J608">
        <f t="shared" si="66"/>
        <v>2306</v>
      </c>
      <c r="K608">
        <f t="shared" si="67"/>
        <v>2447</v>
      </c>
      <c r="L608">
        <f t="shared" si="68"/>
        <v>2511</v>
      </c>
      <c r="M608">
        <f t="shared" si="69"/>
        <v>2382</v>
      </c>
    </row>
    <row r="609" spans="1:13" x14ac:dyDescent="0.3">
      <c r="A609" s="2">
        <f>[1]HHS_Unaccompanied_Alien_Childre!G609</f>
        <v>45847</v>
      </c>
      <c r="B609">
        <f>[2]HHS_Unaccompanied_Alien_Childre!B609</f>
        <v>2</v>
      </c>
      <c r="C609">
        <f>[3]HHS_Unaccompanied_Alien_Childre!C609</f>
        <v>18</v>
      </c>
      <c r="D609">
        <f>[2]HHS_Unaccompanied_Alien_Childre!D609</f>
        <v>0</v>
      </c>
      <c r="E609">
        <f>[2]HHS_Unaccompanied_Alien_Childre!E609</f>
        <v>2281</v>
      </c>
      <c r="F609">
        <f>[3]HHS_Unaccompanied_Alien_Childre!F609</f>
        <v>32</v>
      </c>
      <c r="G609">
        <f t="shared" si="64"/>
        <v>-25</v>
      </c>
      <c r="H609" t="str">
        <f t="shared" si="65"/>
        <v>Decrease</v>
      </c>
      <c r="I609">
        <f t="shared" si="63"/>
        <v>2</v>
      </c>
      <c r="J609">
        <f t="shared" si="66"/>
        <v>2281</v>
      </c>
      <c r="K609">
        <f t="shared" si="67"/>
        <v>2413</v>
      </c>
      <c r="L609">
        <f t="shared" si="68"/>
        <v>2523</v>
      </c>
      <c r="M609">
        <f t="shared" si="69"/>
        <v>2359.5</v>
      </c>
    </row>
    <row r="610" spans="1:13" x14ac:dyDescent="0.3">
      <c r="A610" s="2">
        <f>[1]HHS_Unaccompanied_Alien_Childre!G610</f>
        <v>45848</v>
      </c>
      <c r="B610">
        <f>[2]HHS_Unaccompanied_Alien_Childre!B610</f>
        <v>2</v>
      </c>
      <c r="C610">
        <f>[3]HHS_Unaccompanied_Alien_Childre!C610</f>
        <v>12</v>
      </c>
      <c r="D610">
        <f>[2]HHS_Unaccompanied_Alien_Childre!D610</f>
        <v>3</v>
      </c>
      <c r="E610">
        <f>[2]HHS_Unaccompanied_Alien_Childre!E610</f>
        <v>2252</v>
      </c>
      <c r="F610">
        <f>[3]HHS_Unaccompanied_Alien_Childre!F610</f>
        <v>39</v>
      </c>
      <c r="G610">
        <f t="shared" si="64"/>
        <v>-29</v>
      </c>
      <c r="H610" t="str">
        <f t="shared" si="65"/>
        <v>Decrease</v>
      </c>
      <c r="I610">
        <f t="shared" si="63"/>
        <v>-1</v>
      </c>
      <c r="J610">
        <f t="shared" si="66"/>
        <v>2252</v>
      </c>
      <c r="K610">
        <f t="shared" si="67"/>
        <v>2407</v>
      </c>
      <c r="L610">
        <f t="shared" si="68"/>
        <v>2501</v>
      </c>
      <c r="M610">
        <f t="shared" si="69"/>
        <v>2344</v>
      </c>
    </row>
    <row r="611" spans="1:13" x14ac:dyDescent="0.3">
      <c r="A611" s="2">
        <f>[1]HHS_Unaccompanied_Alien_Childre!G611</f>
        <v>45851</v>
      </c>
      <c r="B611">
        <f>[2]HHS_Unaccompanied_Alien_Childre!B611</f>
        <v>1</v>
      </c>
      <c r="C611">
        <f>[3]HHS_Unaccompanied_Alien_Childre!C611</f>
        <v>13</v>
      </c>
      <c r="D611">
        <f>[2]HHS_Unaccompanied_Alien_Childre!D611</f>
        <v>4</v>
      </c>
      <c r="E611">
        <f>[2]HHS_Unaccompanied_Alien_Childre!E611</f>
        <v>2204</v>
      </c>
      <c r="F611">
        <f>[3]HHS_Unaccompanied_Alien_Childre!F611</f>
        <v>10</v>
      </c>
      <c r="G611">
        <f t="shared" si="64"/>
        <v>-48</v>
      </c>
      <c r="H611" t="str">
        <f t="shared" si="65"/>
        <v>Decrease</v>
      </c>
      <c r="I611">
        <f t="shared" si="63"/>
        <v>-3</v>
      </c>
      <c r="J611">
        <f t="shared" si="66"/>
        <v>2204</v>
      </c>
      <c r="K611">
        <f t="shared" si="67"/>
        <v>2391</v>
      </c>
      <c r="L611">
        <f t="shared" si="68"/>
        <v>2508</v>
      </c>
      <c r="M611">
        <f t="shared" si="69"/>
        <v>2321.5</v>
      </c>
    </row>
    <row r="612" spans="1:13" x14ac:dyDescent="0.3">
      <c r="A612" s="2">
        <f>[1]HHS_Unaccompanied_Alien_Childre!G612</f>
        <v>45852</v>
      </c>
      <c r="B612">
        <f>[2]HHS_Unaccompanied_Alien_Childre!B612</f>
        <v>2</v>
      </c>
      <c r="C612">
        <f>[3]HHS_Unaccompanied_Alien_Childre!C612</f>
        <v>9</v>
      </c>
      <c r="D612">
        <f>[2]HHS_Unaccompanied_Alien_Childre!D612</f>
        <v>1</v>
      </c>
      <c r="E612">
        <f>[2]HHS_Unaccompanied_Alien_Childre!E612</f>
        <v>2181</v>
      </c>
      <c r="F612">
        <f>[3]HHS_Unaccompanied_Alien_Childre!F612</f>
        <v>26</v>
      </c>
      <c r="G612">
        <f t="shared" si="64"/>
        <v>-23</v>
      </c>
      <c r="H612" t="str">
        <f t="shared" si="65"/>
        <v>Decrease</v>
      </c>
      <c r="I612">
        <f t="shared" si="63"/>
        <v>1</v>
      </c>
      <c r="J612">
        <f t="shared" si="66"/>
        <v>2181</v>
      </c>
      <c r="K612">
        <f t="shared" si="67"/>
        <v>2373</v>
      </c>
      <c r="L612">
        <f t="shared" si="68"/>
        <v>2495</v>
      </c>
      <c r="M612">
        <f t="shared" si="69"/>
        <v>2288.5</v>
      </c>
    </row>
    <row r="613" spans="1:13" x14ac:dyDescent="0.3">
      <c r="A613" s="2">
        <f>[1]HHS_Unaccompanied_Alien_Childre!G613</f>
        <v>45853</v>
      </c>
      <c r="B613">
        <f>[2]HHS_Unaccompanied_Alien_Childre!B613</f>
        <v>0</v>
      </c>
      <c r="C613">
        <f>[3]HHS_Unaccompanied_Alien_Childre!C613</f>
        <v>8</v>
      </c>
      <c r="D613">
        <f>[2]HHS_Unaccompanied_Alien_Childre!D613</f>
        <v>5</v>
      </c>
      <c r="E613">
        <f>[2]HHS_Unaccompanied_Alien_Childre!E613</f>
        <v>2171</v>
      </c>
      <c r="F613">
        <f>[3]HHS_Unaccompanied_Alien_Childre!F613</f>
        <v>17</v>
      </c>
      <c r="G613">
        <f t="shared" si="64"/>
        <v>-10</v>
      </c>
      <c r="H613" t="str">
        <f t="shared" si="65"/>
        <v>Decrease</v>
      </c>
      <c r="I613">
        <f t="shared" si="63"/>
        <v>-5</v>
      </c>
      <c r="J613">
        <f t="shared" si="66"/>
        <v>2171</v>
      </c>
      <c r="K613">
        <f t="shared" si="67"/>
        <v>2332</v>
      </c>
      <c r="L613">
        <f t="shared" si="68"/>
        <v>2489</v>
      </c>
      <c r="M613">
        <f t="shared" si="69"/>
        <v>2256.5</v>
      </c>
    </row>
    <row r="614" spans="1:13" x14ac:dyDescent="0.3">
      <c r="A614" s="2">
        <f>[1]HHS_Unaccompanied_Alien_Childre!G614</f>
        <v>45854</v>
      </c>
      <c r="B614">
        <f>[2]HHS_Unaccompanied_Alien_Childre!B614</f>
        <v>1</v>
      </c>
      <c r="C614">
        <f>[3]HHS_Unaccompanied_Alien_Childre!C614</f>
        <v>9</v>
      </c>
      <c r="D614">
        <f>[2]HHS_Unaccompanied_Alien_Childre!D614</f>
        <v>0</v>
      </c>
      <c r="E614">
        <f>[2]HHS_Unaccompanied_Alien_Childre!E614</f>
        <v>2164</v>
      </c>
      <c r="F614">
        <f>[3]HHS_Unaccompanied_Alien_Childre!F614</f>
        <v>11</v>
      </c>
      <c r="G614">
        <f t="shared" si="64"/>
        <v>-7</v>
      </c>
      <c r="H614" t="str">
        <f t="shared" si="65"/>
        <v>Decrease</v>
      </c>
      <c r="I614">
        <f t="shared" si="63"/>
        <v>1</v>
      </c>
      <c r="J614">
        <f t="shared" si="66"/>
        <v>2164</v>
      </c>
      <c r="K614">
        <f t="shared" si="67"/>
        <v>2317</v>
      </c>
      <c r="L614">
        <f t="shared" si="68"/>
        <v>2470</v>
      </c>
      <c r="M614">
        <f t="shared" si="69"/>
        <v>2244</v>
      </c>
    </row>
    <row r="615" spans="1:13" x14ac:dyDescent="0.3">
      <c r="A615" s="2">
        <f>[1]HHS_Unaccompanied_Alien_Childre!G615</f>
        <v>45855</v>
      </c>
      <c r="B615">
        <f>[2]HHS_Unaccompanied_Alien_Childre!B615</f>
        <v>3</v>
      </c>
      <c r="C615">
        <f>[3]HHS_Unaccompanied_Alien_Childre!C615</f>
        <v>16</v>
      </c>
      <c r="D615">
        <f>[2]HHS_Unaccompanied_Alien_Childre!D615</f>
        <v>2</v>
      </c>
      <c r="E615">
        <f>[2]HHS_Unaccompanied_Alien_Childre!E615</f>
        <v>2153</v>
      </c>
      <c r="F615">
        <f>[3]HHS_Unaccompanied_Alien_Childre!F615</f>
        <v>17</v>
      </c>
      <c r="G615">
        <f t="shared" si="64"/>
        <v>-11</v>
      </c>
      <c r="H615" t="str">
        <f t="shared" si="65"/>
        <v>Decrease</v>
      </c>
      <c r="I615">
        <f t="shared" si="63"/>
        <v>1</v>
      </c>
      <c r="J615">
        <f t="shared" si="66"/>
        <v>2153</v>
      </c>
      <c r="K615">
        <f t="shared" si="67"/>
        <v>2306</v>
      </c>
      <c r="L615">
        <f t="shared" si="68"/>
        <v>2447</v>
      </c>
      <c r="M615">
        <f t="shared" si="69"/>
        <v>2235</v>
      </c>
    </row>
    <row r="616" spans="1:13" x14ac:dyDescent="0.3">
      <c r="A616" s="2">
        <f>[1]HHS_Unaccompanied_Alien_Childre!G616</f>
        <v>45859</v>
      </c>
      <c r="B616">
        <f>[2]HHS_Unaccompanied_Alien_Childre!B616</f>
        <v>4</v>
      </c>
      <c r="C616">
        <f>[3]HHS_Unaccompanied_Alien_Childre!C616</f>
        <v>18</v>
      </c>
      <c r="D616">
        <f>[2]HHS_Unaccompanied_Alien_Childre!D616</f>
        <v>7</v>
      </c>
      <c r="E616">
        <f>[2]HHS_Unaccompanied_Alien_Childre!E616</f>
        <v>2121</v>
      </c>
      <c r="F616">
        <f>[3]HHS_Unaccompanied_Alien_Childre!F616</f>
        <v>16</v>
      </c>
      <c r="G616">
        <f t="shared" si="64"/>
        <v>-32</v>
      </c>
      <c r="H616" t="str">
        <f t="shared" si="65"/>
        <v>Decrease</v>
      </c>
      <c r="I616">
        <f t="shared" si="63"/>
        <v>-3</v>
      </c>
      <c r="J616">
        <f t="shared" si="66"/>
        <v>2121</v>
      </c>
      <c r="K616">
        <f t="shared" si="67"/>
        <v>2281</v>
      </c>
      <c r="L616">
        <f t="shared" si="68"/>
        <v>2413</v>
      </c>
      <c r="M616">
        <f t="shared" si="69"/>
        <v>2217</v>
      </c>
    </row>
    <row r="617" spans="1:13" x14ac:dyDescent="0.3">
      <c r="A617" s="2">
        <f>[1]HHS_Unaccompanied_Alien_Childre!G617</f>
        <v>45860</v>
      </c>
      <c r="B617">
        <f>[2]HHS_Unaccompanied_Alien_Childre!B617</f>
        <v>5</v>
      </c>
      <c r="C617">
        <f>[3]HHS_Unaccompanied_Alien_Childre!C617</f>
        <v>13</v>
      </c>
      <c r="D617">
        <f>[2]HHS_Unaccompanied_Alien_Childre!D617</f>
        <v>3</v>
      </c>
      <c r="E617">
        <f>[2]HHS_Unaccompanied_Alien_Childre!E617</f>
        <v>2117</v>
      </c>
      <c r="F617">
        <f>[3]HHS_Unaccompanied_Alien_Childre!F617</f>
        <v>16</v>
      </c>
      <c r="G617">
        <f t="shared" si="64"/>
        <v>-4</v>
      </c>
      <c r="H617" t="str">
        <f t="shared" si="65"/>
        <v>Decrease</v>
      </c>
      <c r="I617">
        <f t="shared" si="63"/>
        <v>2</v>
      </c>
      <c r="J617">
        <f t="shared" si="66"/>
        <v>2117</v>
      </c>
      <c r="K617">
        <f t="shared" si="67"/>
        <v>2252</v>
      </c>
      <c r="L617">
        <f t="shared" si="68"/>
        <v>2407</v>
      </c>
      <c r="M617">
        <f t="shared" si="69"/>
        <v>2186.5</v>
      </c>
    </row>
    <row r="618" spans="1:13" x14ac:dyDescent="0.3">
      <c r="A618" s="2">
        <f>[1]HHS_Unaccompanied_Alien_Childre!G618</f>
        <v>45861</v>
      </c>
      <c r="B618">
        <f>[2]HHS_Unaccompanied_Alien_Childre!B618</f>
        <v>6</v>
      </c>
      <c r="C618">
        <f>[3]HHS_Unaccompanied_Alien_Childre!C618</f>
        <v>21</v>
      </c>
      <c r="D618">
        <f>[2]HHS_Unaccompanied_Alien_Childre!D618</f>
        <v>5</v>
      </c>
      <c r="E618">
        <f>[2]HHS_Unaccompanied_Alien_Childre!E618</f>
        <v>2111</v>
      </c>
      <c r="F618">
        <f>[3]HHS_Unaccompanied_Alien_Childre!F618</f>
        <v>14</v>
      </c>
      <c r="G618">
        <f t="shared" si="64"/>
        <v>-6</v>
      </c>
      <c r="H618" t="str">
        <f t="shared" si="65"/>
        <v>Decrease</v>
      </c>
      <c r="I618">
        <f t="shared" si="63"/>
        <v>1</v>
      </c>
      <c r="J618">
        <f t="shared" si="66"/>
        <v>2111</v>
      </c>
      <c r="K618">
        <f t="shared" si="67"/>
        <v>2204</v>
      </c>
      <c r="L618">
        <f t="shared" si="68"/>
        <v>2391</v>
      </c>
      <c r="M618">
        <f t="shared" si="69"/>
        <v>2160.5</v>
      </c>
    </row>
    <row r="619" spans="1:13" x14ac:dyDescent="0.3">
      <c r="A619" s="2">
        <f>[1]HHS_Unaccompanied_Alien_Childre!G619</f>
        <v>45862</v>
      </c>
      <c r="B619">
        <f>[2]HHS_Unaccompanied_Alien_Childre!B619</f>
        <v>6</v>
      </c>
      <c r="C619">
        <f>[3]HHS_Unaccompanied_Alien_Childre!C619</f>
        <v>18</v>
      </c>
      <c r="D619">
        <f>[2]HHS_Unaccompanied_Alien_Childre!D619</f>
        <v>7</v>
      </c>
      <c r="E619">
        <f>[2]HHS_Unaccompanied_Alien_Childre!E619</f>
        <v>2096</v>
      </c>
      <c r="F619">
        <f>[3]HHS_Unaccompanied_Alien_Childre!F619</f>
        <v>29</v>
      </c>
      <c r="G619">
        <f t="shared" si="64"/>
        <v>-15</v>
      </c>
      <c r="H619" t="str">
        <f t="shared" si="65"/>
        <v>Decrease</v>
      </c>
      <c r="I619">
        <f t="shared" si="63"/>
        <v>-1</v>
      </c>
      <c r="J619">
        <f t="shared" si="66"/>
        <v>2096</v>
      </c>
      <c r="K619">
        <f t="shared" si="67"/>
        <v>2181</v>
      </c>
      <c r="L619">
        <f t="shared" si="68"/>
        <v>2373</v>
      </c>
      <c r="M619">
        <f t="shared" si="69"/>
        <v>2146</v>
      </c>
    </row>
    <row r="620" spans="1:13" x14ac:dyDescent="0.3">
      <c r="A620" s="2">
        <f>[1]HHS_Unaccompanied_Alien_Childre!G620</f>
        <v>45865</v>
      </c>
      <c r="B620">
        <f>[2]HHS_Unaccompanied_Alien_Childre!B620</f>
        <v>1</v>
      </c>
      <c r="C620">
        <f>[3]HHS_Unaccompanied_Alien_Childre!C620</f>
        <v>12</v>
      </c>
      <c r="D620">
        <f>[2]HHS_Unaccompanied_Alien_Childre!D620</f>
        <v>2</v>
      </c>
      <c r="E620">
        <f>[2]HHS_Unaccompanied_Alien_Childre!E620</f>
        <v>2088</v>
      </c>
      <c r="F620">
        <f>[3]HHS_Unaccompanied_Alien_Childre!F620</f>
        <v>4</v>
      </c>
      <c r="G620">
        <f t="shared" si="64"/>
        <v>-8</v>
      </c>
      <c r="H620" t="str">
        <f t="shared" si="65"/>
        <v>Decrease</v>
      </c>
      <c r="I620">
        <f t="shared" si="63"/>
        <v>-1</v>
      </c>
      <c r="J620">
        <f t="shared" si="66"/>
        <v>2088</v>
      </c>
      <c r="K620">
        <f t="shared" si="67"/>
        <v>2171</v>
      </c>
      <c r="L620">
        <f t="shared" si="68"/>
        <v>2332</v>
      </c>
      <c r="M620">
        <f t="shared" si="69"/>
        <v>2133.5</v>
      </c>
    </row>
    <row r="621" spans="1:13" x14ac:dyDescent="0.3">
      <c r="A621" s="2">
        <f>[1]HHS_Unaccompanied_Alien_Childre!G621</f>
        <v>45866</v>
      </c>
      <c r="B621">
        <f>[2]HHS_Unaccompanied_Alien_Childre!B621</f>
        <v>2</v>
      </c>
      <c r="C621">
        <f>[3]HHS_Unaccompanied_Alien_Childre!C621</f>
        <v>9</v>
      </c>
      <c r="D621">
        <f>[2]HHS_Unaccompanied_Alien_Childre!D621</f>
        <v>3</v>
      </c>
      <c r="E621">
        <f>[2]HHS_Unaccompanied_Alien_Childre!E621</f>
        <v>2080</v>
      </c>
      <c r="F621">
        <f>[3]HHS_Unaccompanied_Alien_Childre!F621</f>
        <v>14</v>
      </c>
      <c r="G621">
        <f t="shared" si="64"/>
        <v>-8</v>
      </c>
      <c r="H621" t="str">
        <f t="shared" si="65"/>
        <v>Decrease</v>
      </c>
      <c r="I621">
        <f t="shared" si="63"/>
        <v>-1</v>
      </c>
      <c r="J621">
        <f t="shared" si="66"/>
        <v>2080</v>
      </c>
      <c r="K621">
        <f t="shared" si="67"/>
        <v>2164</v>
      </c>
      <c r="L621">
        <f t="shared" si="68"/>
        <v>2317</v>
      </c>
      <c r="M621">
        <f t="shared" si="69"/>
        <v>2126</v>
      </c>
    </row>
    <row r="622" spans="1:13" x14ac:dyDescent="0.3">
      <c r="A622" s="2">
        <f>[1]HHS_Unaccompanied_Alien_Childre!G622</f>
        <v>45867</v>
      </c>
      <c r="B622">
        <f>[2]HHS_Unaccompanied_Alien_Childre!B622</f>
        <v>2</v>
      </c>
      <c r="C622">
        <f>[3]HHS_Unaccompanied_Alien_Childre!C622</f>
        <v>8</v>
      </c>
      <c r="D622">
        <f>[2]HHS_Unaccompanied_Alien_Childre!D622</f>
        <v>3</v>
      </c>
      <c r="E622">
        <f>[2]HHS_Unaccompanied_Alien_Childre!E622</f>
        <v>2072</v>
      </c>
      <c r="F622">
        <f>[3]HHS_Unaccompanied_Alien_Childre!F622</f>
        <v>12</v>
      </c>
      <c r="G622">
        <f t="shared" si="64"/>
        <v>-8</v>
      </c>
      <c r="H622" t="str">
        <f t="shared" si="65"/>
        <v>Decrease</v>
      </c>
      <c r="I622">
        <f t="shared" si="63"/>
        <v>-1</v>
      </c>
      <c r="J622">
        <f t="shared" si="66"/>
        <v>2072</v>
      </c>
      <c r="K622">
        <f t="shared" si="67"/>
        <v>2153</v>
      </c>
      <c r="L622">
        <f t="shared" si="68"/>
        <v>2306</v>
      </c>
      <c r="M622">
        <f t="shared" si="69"/>
        <v>2116.5</v>
      </c>
    </row>
    <row r="623" spans="1:13" x14ac:dyDescent="0.3">
      <c r="A623" s="2">
        <f>[1]HHS_Unaccompanied_Alien_Childre!G623</f>
        <v>45868</v>
      </c>
      <c r="B623">
        <f>[2]HHS_Unaccompanied_Alien_Childre!B623</f>
        <v>4</v>
      </c>
      <c r="C623">
        <f>[3]HHS_Unaccompanied_Alien_Childre!C623</f>
        <v>15</v>
      </c>
      <c r="D623">
        <f>[2]HHS_Unaccompanied_Alien_Childre!D623</f>
        <v>4</v>
      </c>
      <c r="E623">
        <f>[2]HHS_Unaccompanied_Alien_Childre!E623</f>
        <v>2063</v>
      </c>
      <c r="F623">
        <f>[3]HHS_Unaccompanied_Alien_Childre!F623</f>
        <v>16</v>
      </c>
      <c r="G623">
        <f t="shared" si="64"/>
        <v>-9</v>
      </c>
      <c r="H623" t="str">
        <f t="shared" si="65"/>
        <v>Decrease</v>
      </c>
      <c r="I623">
        <f t="shared" si="63"/>
        <v>0</v>
      </c>
      <c r="J623">
        <f t="shared" si="66"/>
        <v>2063</v>
      </c>
      <c r="K623">
        <f t="shared" si="67"/>
        <v>2121</v>
      </c>
      <c r="L623">
        <f t="shared" si="68"/>
        <v>2281</v>
      </c>
      <c r="M623">
        <f t="shared" si="69"/>
        <v>2096.5</v>
      </c>
    </row>
    <row r="624" spans="1:13" x14ac:dyDescent="0.3">
      <c r="A624" s="2">
        <f>[1]HHS_Unaccompanied_Alien_Childre!G624</f>
        <v>45869</v>
      </c>
      <c r="B624">
        <f>[2]HHS_Unaccompanied_Alien_Childre!B624</f>
        <v>2</v>
      </c>
      <c r="C624">
        <f>[3]HHS_Unaccompanied_Alien_Childre!C624</f>
        <v>9</v>
      </c>
      <c r="D624">
        <f>[2]HHS_Unaccompanied_Alien_Childre!D624</f>
        <v>6</v>
      </c>
      <c r="E624">
        <f>[2]HHS_Unaccompanied_Alien_Childre!E624</f>
        <v>2058</v>
      </c>
      <c r="F624">
        <f>[3]HHS_Unaccompanied_Alien_Childre!F624</f>
        <v>15</v>
      </c>
      <c r="G624">
        <f t="shared" si="64"/>
        <v>-5</v>
      </c>
      <c r="H624" t="str">
        <f t="shared" si="65"/>
        <v>Decrease</v>
      </c>
      <c r="I624">
        <f t="shared" si="63"/>
        <v>-4</v>
      </c>
      <c r="J624">
        <f t="shared" si="66"/>
        <v>2058</v>
      </c>
      <c r="K624">
        <f t="shared" si="67"/>
        <v>2117</v>
      </c>
      <c r="L624">
        <f t="shared" si="68"/>
        <v>2252</v>
      </c>
      <c r="M624">
        <f t="shared" si="69"/>
        <v>2090</v>
      </c>
    </row>
    <row r="625" spans="1:13" x14ac:dyDescent="0.3">
      <c r="A625" s="2">
        <f>[1]HHS_Unaccompanied_Alien_Childre!G625</f>
        <v>45872</v>
      </c>
      <c r="B625">
        <f>[2]HHS_Unaccompanied_Alien_Childre!B625</f>
        <v>5</v>
      </c>
      <c r="C625">
        <f>[3]HHS_Unaccompanied_Alien_Childre!C625</f>
        <v>26</v>
      </c>
      <c r="D625">
        <f>[2]HHS_Unaccompanied_Alien_Childre!D625</f>
        <v>3</v>
      </c>
      <c r="E625">
        <f>[2]HHS_Unaccompanied_Alien_Childre!E625</f>
        <v>2049</v>
      </c>
      <c r="F625">
        <f>[3]HHS_Unaccompanied_Alien_Childre!F625</f>
        <v>5</v>
      </c>
      <c r="G625">
        <f t="shared" si="64"/>
        <v>-9</v>
      </c>
      <c r="H625" t="str">
        <f t="shared" si="65"/>
        <v>Decrease</v>
      </c>
      <c r="I625">
        <f t="shared" si="63"/>
        <v>2</v>
      </c>
      <c r="J625">
        <f t="shared" si="66"/>
        <v>2049</v>
      </c>
      <c r="K625">
        <f t="shared" si="67"/>
        <v>2111</v>
      </c>
      <c r="L625">
        <f t="shared" si="68"/>
        <v>2204</v>
      </c>
      <c r="M625">
        <f t="shared" si="69"/>
        <v>2084.5</v>
      </c>
    </row>
    <row r="626" spans="1:13" x14ac:dyDescent="0.3">
      <c r="A626" s="2">
        <f>[1]HHS_Unaccompanied_Alien_Childre!G626</f>
        <v>45873</v>
      </c>
      <c r="B626">
        <f>[2]HHS_Unaccompanied_Alien_Childre!B626</f>
        <v>5</v>
      </c>
      <c r="C626">
        <f>[3]HHS_Unaccompanied_Alien_Childre!C626</f>
        <v>22</v>
      </c>
      <c r="D626">
        <f>[2]HHS_Unaccompanied_Alien_Childre!D626</f>
        <v>11</v>
      </c>
      <c r="E626">
        <f>[2]HHS_Unaccompanied_Alien_Childre!E626</f>
        <v>2040</v>
      </c>
      <c r="F626">
        <f>[3]HHS_Unaccompanied_Alien_Childre!F626</f>
        <v>14</v>
      </c>
      <c r="G626">
        <f t="shared" si="64"/>
        <v>-9</v>
      </c>
      <c r="H626" t="str">
        <f t="shared" si="65"/>
        <v>Decrease</v>
      </c>
      <c r="I626">
        <f t="shared" si="63"/>
        <v>-6</v>
      </c>
      <c r="J626">
        <f t="shared" si="66"/>
        <v>2040</v>
      </c>
      <c r="K626">
        <f t="shared" si="67"/>
        <v>2096</v>
      </c>
      <c r="L626">
        <f t="shared" si="68"/>
        <v>2181</v>
      </c>
      <c r="M626">
        <f t="shared" si="69"/>
        <v>2072.5</v>
      </c>
    </row>
    <row r="627" spans="1:13" x14ac:dyDescent="0.3">
      <c r="A627" s="2">
        <f>[1]HHS_Unaccompanied_Alien_Childre!G627</f>
        <v>45874</v>
      </c>
      <c r="B627">
        <f>[2]HHS_Unaccompanied_Alien_Childre!B627</f>
        <v>2</v>
      </c>
      <c r="C627">
        <f>[3]HHS_Unaccompanied_Alien_Childre!C627</f>
        <v>21</v>
      </c>
      <c r="D627">
        <f>[2]HHS_Unaccompanied_Alien_Childre!D627</f>
        <v>10</v>
      </c>
      <c r="E627">
        <f>[2]HHS_Unaccompanied_Alien_Childre!E627</f>
        <v>2042</v>
      </c>
      <c r="F627">
        <f>[3]HHS_Unaccompanied_Alien_Childre!F627</f>
        <v>14</v>
      </c>
      <c r="G627">
        <f t="shared" si="64"/>
        <v>2</v>
      </c>
      <c r="H627" t="str">
        <f t="shared" si="65"/>
        <v>Increase</v>
      </c>
      <c r="I627">
        <f t="shared" si="63"/>
        <v>-8</v>
      </c>
      <c r="J627">
        <f t="shared" si="66"/>
        <v>2042</v>
      </c>
      <c r="K627">
        <f t="shared" si="67"/>
        <v>2088</v>
      </c>
      <c r="L627">
        <f t="shared" si="68"/>
        <v>2171</v>
      </c>
      <c r="M627">
        <f t="shared" si="69"/>
        <v>2064</v>
      </c>
    </row>
    <row r="628" spans="1:13" x14ac:dyDescent="0.3">
      <c r="A628" s="2">
        <f>[1]HHS_Unaccompanied_Alien_Childre!G628</f>
        <v>45875</v>
      </c>
      <c r="B628">
        <f>[2]HHS_Unaccompanied_Alien_Childre!B628</f>
        <v>4</v>
      </c>
      <c r="C628">
        <f>[3]HHS_Unaccompanied_Alien_Childre!C628</f>
        <v>17</v>
      </c>
      <c r="D628">
        <f>[2]HHS_Unaccompanied_Alien_Childre!D628</f>
        <v>3</v>
      </c>
      <c r="E628">
        <f>[2]HHS_Unaccompanied_Alien_Childre!E628</f>
        <v>2036</v>
      </c>
      <c r="F628">
        <f>[3]HHS_Unaccompanied_Alien_Childre!F628</f>
        <v>13</v>
      </c>
      <c r="G628">
        <f t="shared" si="64"/>
        <v>-6</v>
      </c>
      <c r="H628" t="str">
        <f t="shared" si="65"/>
        <v>Decrease</v>
      </c>
      <c r="I628">
        <f t="shared" si="63"/>
        <v>1</v>
      </c>
      <c r="J628">
        <f t="shared" si="66"/>
        <v>2036</v>
      </c>
      <c r="K628">
        <f t="shared" si="67"/>
        <v>2080</v>
      </c>
      <c r="L628">
        <f t="shared" si="68"/>
        <v>2164</v>
      </c>
      <c r="M628">
        <f t="shared" si="69"/>
        <v>2061</v>
      </c>
    </row>
    <row r="629" spans="1:13" x14ac:dyDescent="0.3">
      <c r="A629" s="2">
        <f>[1]HHS_Unaccompanied_Alien_Childre!G629</f>
        <v>45876</v>
      </c>
      <c r="B629">
        <f>[2]HHS_Unaccompanied_Alien_Childre!B629</f>
        <v>4</v>
      </c>
      <c r="C629">
        <f>[3]HHS_Unaccompanied_Alien_Childre!C629</f>
        <v>18</v>
      </c>
      <c r="D629">
        <f>[2]HHS_Unaccompanied_Alien_Childre!D629</f>
        <v>6</v>
      </c>
      <c r="E629">
        <f>[2]HHS_Unaccompanied_Alien_Childre!E629</f>
        <v>2031</v>
      </c>
      <c r="F629">
        <f>[3]HHS_Unaccompanied_Alien_Childre!F629</f>
        <v>17</v>
      </c>
      <c r="G629">
        <f t="shared" si="64"/>
        <v>-5</v>
      </c>
      <c r="H629" t="str">
        <f t="shared" si="65"/>
        <v>Decrease</v>
      </c>
      <c r="I629">
        <f t="shared" si="63"/>
        <v>-2</v>
      </c>
      <c r="J629">
        <f t="shared" si="66"/>
        <v>2031</v>
      </c>
      <c r="K629">
        <f t="shared" si="67"/>
        <v>2072</v>
      </c>
      <c r="L629">
        <f t="shared" si="68"/>
        <v>2153</v>
      </c>
      <c r="M629">
        <f t="shared" si="69"/>
        <v>2054</v>
      </c>
    </row>
    <row r="630" spans="1:13" x14ac:dyDescent="0.3">
      <c r="A630" s="2">
        <f>[1]HHS_Unaccompanied_Alien_Childre!G630</f>
        <v>45879</v>
      </c>
      <c r="B630">
        <f>[2]HHS_Unaccompanied_Alien_Childre!B630</f>
        <v>0</v>
      </c>
      <c r="C630">
        <f>[3]HHS_Unaccompanied_Alien_Childre!C630</f>
        <v>18</v>
      </c>
      <c r="D630">
        <f>[2]HHS_Unaccompanied_Alien_Childre!D630</f>
        <v>8</v>
      </c>
      <c r="E630">
        <f>[2]HHS_Unaccompanied_Alien_Childre!E630</f>
        <v>2006</v>
      </c>
      <c r="F630">
        <f>[3]HHS_Unaccompanied_Alien_Childre!F630</f>
        <v>12</v>
      </c>
      <c r="G630">
        <f t="shared" si="64"/>
        <v>-25</v>
      </c>
      <c r="H630" t="str">
        <f t="shared" si="65"/>
        <v>Decrease</v>
      </c>
      <c r="I630">
        <f t="shared" si="63"/>
        <v>-8</v>
      </c>
      <c r="J630">
        <f t="shared" si="66"/>
        <v>2006</v>
      </c>
      <c r="K630">
        <f t="shared" si="67"/>
        <v>2063</v>
      </c>
      <c r="L630">
        <f t="shared" si="68"/>
        <v>2121</v>
      </c>
      <c r="M630">
        <f t="shared" si="69"/>
        <v>2047</v>
      </c>
    </row>
    <row r="631" spans="1:13" x14ac:dyDescent="0.3">
      <c r="A631" s="2">
        <f>[1]HHS_Unaccompanied_Alien_Childre!G631</f>
        <v>45880</v>
      </c>
      <c r="B631">
        <f>[2]HHS_Unaccompanied_Alien_Childre!B631</f>
        <v>6</v>
      </c>
      <c r="C631">
        <f>[3]HHS_Unaccompanied_Alien_Childre!C631</f>
        <v>23</v>
      </c>
      <c r="D631">
        <f>[2]HHS_Unaccompanied_Alien_Childre!D631</f>
        <v>4</v>
      </c>
      <c r="E631">
        <f>[2]HHS_Unaccompanied_Alien_Childre!E631</f>
        <v>1999</v>
      </c>
      <c r="F631">
        <f>[3]HHS_Unaccompanied_Alien_Childre!F631</f>
        <v>16</v>
      </c>
      <c r="G631">
        <f t="shared" si="64"/>
        <v>-7</v>
      </c>
      <c r="H631" t="str">
        <f t="shared" si="65"/>
        <v>Decrease</v>
      </c>
      <c r="I631">
        <f t="shared" si="63"/>
        <v>2</v>
      </c>
      <c r="J631">
        <f t="shared" si="66"/>
        <v>1999</v>
      </c>
      <c r="K631">
        <f t="shared" si="67"/>
        <v>2058</v>
      </c>
      <c r="L631">
        <f t="shared" si="68"/>
        <v>2117</v>
      </c>
      <c r="M631">
        <f t="shared" si="69"/>
        <v>2032</v>
      </c>
    </row>
    <row r="632" spans="1:13" x14ac:dyDescent="0.3">
      <c r="A632" s="2">
        <f>[1]HHS_Unaccompanied_Alien_Childre!G632</f>
        <v>45881</v>
      </c>
      <c r="B632">
        <f>[2]HHS_Unaccompanied_Alien_Childre!B632</f>
        <v>8</v>
      </c>
      <c r="C632">
        <f>[3]HHS_Unaccompanied_Alien_Childre!C632</f>
        <v>38</v>
      </c>
      <c r="D632">
        <f>[2]HHS_Unaccompanied_Alien_Childre!D632</f>
        <v>9</v>
      </c>
      <c r="E632">
        <f>[2]HHS_Unaccompanied_Alien_Childre!E632</f>
        <v>1999</v>
      </c>
      <c r="F632">
        <f>[3]HHS_Unaccompanied_Alien_Childre!F632</f>
        <v>9</v>
      </c>
      <c r="G632">
        <f t="shared" si="64"/>
        <v>0</v>
      </c>
      <c r="H632" t="str">
        <f t="shared" si="65"/>
        <v>No Change</v>
      </c>
      <c r="I632">
        <f t="shared" si="63"/>
        <v>-1</v>
      </c>
      <c r="J632">
        <f t="shared" si="66"/>
        <v>1999</v>
      </c>
      <c r="K632">
        <f t="shared" si="67"/>
        <v>2049</v>
      </c>
      <c r="L632">
        <f t="shared" si="68"/>
        <v>2111</v>
      </c>
      <c r="M632">
        <f t="shared" si="69"/>
        <v>2024</v>
      </c>
    </row>
    <row r="633" spans="1:13" x14ac:dyDescent="0.3">
      <c r="A633" s="2">
        <f>[1]HHS_Unaccompanied_Alien_Childre!G633</f>
        <v>45882</v>
      </c>
      <c r="B633">
        <f>[2]HHS_Unaccompanied_Alien_Childre!B633</f>
        <v>6</v>
      </c>
      <c r="C633">
        <f>[3]HHS_Unaccompanied_Alien_Childre!C633</f>
        <v>22</v>
      </c>
      <c r="D633">
        <f>[2]HHS_Unaccompanied_Alien_Childre!D633</f>
        <v>12</v>
      </c>
      <c r="E633">
        <f>[2]HHS_Unaccompanied_Alien_Childre!E633</f>
        <v>1997</v>
      </c>
      <c r="F633">
        <f>[3]HHS_Unaccompanied_Alien_Childre!F633</f>
        <v>17</v>
      </c>
      <c r="G633">
        <f t="shared" si="64"/>
        <v>-2</v>
      </c>
      <c r="H633" t="str">
        <f t="shared" si="65"/>
        <v>Decrease</v>
      </c>
      <c r="I633">
        <f t="shared" si="63"/>
        <v>-6</v>
      </c>
      <c r="J633">
        <f t="shared" si="66"/>
        <v>1997</v>
      </c>
      <c r="K633">
        <f t="shared" si="67"/>
        <v>2040</v>
      </c>
      <c r="L633">
        <f t="shared" si="68"/>
        <v>2096</v>
      </c>
      <c r="M633">
        <f t="shared" si="69"/>
        <v>2019.5</v>
      </c>
    </row>
    <row r="634" spans="1:13" x14ac:dyDescent="0.3">
      <c r="A634" s="2">
        <f>[1]HHS_Unaccompanied_Alien_Childre!G634</f>
        <v>45883</v>
      </c>
      <c r="B634">
        <f>[2]HHS_Unaccompanied_Alien_Childre!B634</f>
        <v>3</v>
      </c>
      <c r="C634">
        <f>[3]HHS_Unaccompanied_Alien_Childre!C634</f>
        <v>27</v>
      </c>
      <c r="D634">
        <f>[2]HHS_Unaccompanied_Alien_Childre!D634</f>
        <v>4</v>
      </c>
      <c r="E634">
        <f>[2]HHS_Unaccompanied_Alien_Childre!E634</f>
        <v>1994</v>
      </c>
      <c r="F634">
        <f>[3]HHS_Unaccompanied_Alien_Childre!F634</f>
        <v>11</v>
      </c>
      <c r="G634">
        <f t="shared" si="64"/>
        <v>-3</v>
      </c>
      <c r="H634" t="str">
        <f t="shared" si="65"/>
        <v>Decrease</v>
      </c>
      <c r="I634">
        <f t="shared" si="63"/>
        <v>-1</v>
      </c>
      <c r="J634">
        <f t="shared" si="66"/>
        <v>1994</v>
      </c>
      <c r="K634">
        <f t="shared" si="67"/>
        <v>2042</v>
      </c>
      <c r="L634">
        <f t="shared" si="68"/>
        <v>2088</v>
      </c>
      <c r="M634">
        <f t="shared" si="69"/>
        <v>2019.5</v>
      </c>
    </row>
    <row r="635" spans="1:13" x14ac:dyDescent="0.3">
      <c r="A635" s="2">
        <f>[1]HHS_Unaccompanied_Alien_Childre!G635</f>
        <v>45886</v>
      </c>
      <c r="B635">
        <f>[2]HHS_Unaccompanied_Alien_Childre!B635</f>
        <v>4</v>
      </c>
      <c r="C635">
        <f>[3]HHS_Unaccompanied_Alien_Childre!C635</f>
        <v>14</v>
      </c>
      <c r="D635">
        <f>[2]HHS_Unaccompanied_Alien_Childre!D635</f>
        <v>2</v>
      </c>
      <c r="E635">
        <f>[2]HHS_Unaccompanied_Alien_Childre!E635</f>
        <v>1991</v>
      </c>
      <c r="F635">
        <f>[3]HHS_Unaccompanied_Alien_Childre!F635</f>
        <v>3</v>
      </c>
      <c r="G635">
        <f t="shared" si="64"/>
        <v>-3</v>
      </c>
      <c r="H635" t="str">
        <f t="shared" si="65"/>
        <v>Decrease</v>
      </c>
      <c r="I635">
        <f t="shared" si="63"/>
        <v>2</v>
      </c>
      <c r="J635">
        <f t="shared" si="66"/>
        <v>1991</v>
      </c>
      <c r="K635">
        <f t="shared" si="67"/>
        <v>2036</v>
      </c>
      <c r="L635">
        <f t="shared" si="68"/>
        <v>2080</v>
      </c>
      <c r="M635">
        <f t="shared" si="69"/>
        <v>2015</v>
      </c>
    </row>
    <row r="636" spans="1:13" x14ac:dyDescent="0.3">
      <c r="A636" s="2">
        <f>[1]HHS_Unaccompanied_Alien_Childre!G636</f>
        <v>45887</v>
      </c>
      <c r="B636">
        <f>[2]HHS_Unaccompanied_Alien_Childre!B636</f>
        <v>4</v>
      </c>
      <c r="C636">
        <f>[3]HHS_Unaccompanied_Alien_Childre!C636</f>
        <v>20</v>
      </c>
      <c r="D636">
        <f>[2]HHS_Unaccompanied_Alien_Childre!D636</f>
        <v>6</v>
      </c>
      <c r="E636">
        <f>[2]HHS_Unaccompanied_Alien_Childre!E636</f>
        <v>1985</v>
      </c>
      <c r="F636">
        <f>[3]HHS_Unaccompanied_Alien_Childre!F636</f>
        <v>14</v>
      </c>
      <c r="G636">
        <f t="shared" si="64"/>
        <v>-6</v>
      </c>
      <c r="H636" t="str">
        <f t="shared" si="65"/>
        <v>Decrease</v>
      </c>
      <c r="I636">
        <f t="shared" si="63"/>
        <v>-2</v>
      </c>
      <c r="J636">
        <f t="shared" si="66"/>
        <v>1985</v>
      </c>
      <c r="K636">
        <f t="shared" si="67"/>
        <v>2031</v>
      </c>
      <c r="L636">
        <f t="shared" si="68"/>
        <v>2072</v>
      </c>
      <c r="M636">
        <f t="shared" si="69"/>
        <v>2011</v>
      </c>
    </row>
    <row r="637" spans="1:13" x14ac:dyDescent="0.3">
      <c r="A637" s="2">
        <f>[1]HHS_Unaccompanied_Alien_Childre!G637</f>
        <v>45888</v>
      </c>
      <c r="B637">
        <f>[2]HHS_Unaccompanied_Alien_Childre!B637</f>
        <v>5</v>
      </c>
      <c r="C637">
        <f>[3]HHS_Unaccompanied_Alien_Childre!C637</f>
        <v>35</v>
      </c>
      <c r="D637">
        <f>[2]HHS_Unaccompanied_Alien_Childre!D637</f>
        <v>3</v>
      </c>
      <c r="E637">
        <f>[2]HHS_Unaccompanied_Alien_Childre!E637</f>
        <v>1980</v>
      </c>
      <c r="F637">
        <f>[3]HHS_Unaccompanied_Alien_Childre!F637</f>
        <v>11</v>
      </c>
      <c r="G637">
        <f t="shared" si="64"/>
        <v>-5</v>
      </c>
      <c r="H637" t="str">
        <f t="shared" si="65"/>
        <v>Decrease</v>
      </c>
      <c r="I637">
        <f t="shared" si="63"/>
        <v>2</v>
      </c>
      <c r="J637">
        <f t="shared" si="66"/>
        <v>1980</v>
      </c>
      <c r="K637">
        <f t="shared" si="67"/>
        <v>2006</v>
      </c>
      <c r="L637">
        <f t="shared" si="68"/>
        <v>2063</v>
      </c>
      <c r="M637">
        <f t="shared" si="69"/>
        <v>1995.5</v>
      </c>
    </row>
    <row r="638" spans="1:13" x14ac:dyDescent="0.3">
      <c r="A638" s="2">
        <f>[1]HHS_Unaccompanied_Alien_Childre!G638</f>
        <v>45889</v>
      </c>
      <c r="B638">
        <f>[2]HHS_Unaccompanied_Alien_Childre!B638</f>
        <v>10</v>
      </c>
      <c r="C638">
        <f>[3]HHS_Unaccompanied_Alien_Childre!C638</f>
        <v>38</v>
      </c>
      <c r="D638">
        <f>[2]HHS_Unaccompanied_Alien_Childre!D638</f>
        <v>10</v>
      </c>
      <c r="E638">
        <f>[2]HHS_Unaccompanied_Alien_Childre!E638</f>
        <v>1983</v>
      </c>
      <c r="F638">
        <f>[3]HHS_Unaccompanied_Alien_Childre!F638</f>
        <v>10</v>
      </c>
      <c r="G638">
        <f t="shared" si="64"/>
        <v>3</v>
      </c>
      <c r="H638" t="str">
        <f t="shared" si="65"/>
        <v>Increase</v>
      </c>
      <c r="I638">
        <f t="shared" si="63"/>
        <v>0</v>
      </c>
      <c r="J638">
        <f t="shared" si="66"/>
        <v>1983</v>
      </c>
      <c r="K638">
        <f t="shared" si="67"/>
        <v>1999</v>
      </c>
      <c r="L638">
        <f t="shared" si="68"/>
        <v>2058</v>
      </c>
      <c r="M638">
        <f t="shared" si="69"/>
        <v>1989.5</v>
      </c>
    </row>
    <row r="639" spans="1:13" x14ac:dyDescent="0.3">
      <c r="A639" s="2">
        <f>[1]HHS_Unaccompanied_Alien_Childre!G639</f>
        <v>45890</v>
      </c>
      <c r="B639">
        <f>[2]HHS_Unaccompanied_Alien_Childre!B639</f>
        <v>6</v>
      </c>
      <c r="C639">
        <f>[3]HHS_Unaccompanied_Alien_Childre!C639</f>
        <v>49</v>
      </c>
      <c r="D639">
        <f>[2]HHS_Unaccompanied_Alien_Childre!D639</f>
        <v>8</v>
      </c>
      <c r="E639">
        <f>[2]HHS_Unaccompanied_Alien_Childre!E639</f>
        <v>1972</v>
      </c>
      <c r="F639">
        <f>[3]HHS_Unaccompanied_Alien_Childre!F639</f>
        <v>21</v>
      </c>
      <c r="G639">
        <f t="shared" si="64"/>
        <v>-11</v>
      </c>
      <c r="H639" t="str">
        <f t="shared" si="65"/>
        <v>Decrease</v>
      </c>
      <c r="I639">
        <f t="shared" si="63"/>
        <v>-2</v>
      </c>
      <c r="J639">
        <f t="shared" si="66"/>
        <v>1972</v>
      </c>
      <c r="K639">
        <f t="shared" si="67"/>
        <v>1999</v>
      </c>
      <c r="L639">
        <f t="shared" si="68"/>
        <v>2049</v>
      </c>
      <c r="M639">
        <f t="shared" si="69"/>
        <v>1991</v>
      </c>
    </row>
    <row r="640" spans="1:13" x14ac:dyDescent="0.3">
      <c r="A640" s="2">
        <f>[1]HHS_Unaccompanied_Alien_Childre!G640</f>
        <v>45893</v>
      </c>
      <c r="B640">
        <f>[2]HHS_Unaccompanied_Alien_Childre!B640</f>
        <v>4</v>
      </c>
      <c r="C640">
        <f>[3]HHS_Unaccompanied_Alien_Childre!C640</f>
        <v>21</v>
      </c>
      <c r="D640">
        <f>[2]HHS_Unaccompanied_Alien_Childre!D640</f>
        <v>5</v>
      </c>
      <c r="E640">
        <f>[2]HHS_Unaccompanied_Alien_Childre!E640</f>
        <v>1981</v>
      </c>
      <c r="F640">
        <f>[3]HHS_Unaccompanied_Alien_Childre!F640</f>
        <v>5</v>
      </c>
      <c r="G640">
        <f t="shared" si="64"/>
        <v>9</v>
      </c>
      <c r="H640" t="str">
        <f t="shared" si="65"/>
        <v>Increase</v>
      </c>
      <c r="I640">
        <f t="shared" si="63"/>
        <v>-1</v>
      </c>
      <c r="J640">
        <f t="shared" si="66"/>
        <v>1981</v>
      </c>
      <c r="K640">
        <f t="shared" si="67"/>
        <v>1997</v>
      </c>
      <c r="L640">
        <f t="shared" si="68"/>
        <v>2040</v>
      </c>
      <c r="M640">
        <f t="shared" si="69"/>
        <v>1984.5</v>
      </c>
    </row>
    <row r="641" spans="1:13" x14ac:dyDescent="0.3">
      <c r="A641" s="2">
        <f>[1]HHS_Unaccompanied_Alien_Childre!G641</f>
        <v>45894</v>
      </c>
      <c r="B641">
        <f>[2]HHS_Unaccompanied_Alien_Childre!B641</f>
        <v>8</v>
      </c>
      <c r="C641">
        <f>[3]HHS_Unaccompanied_Alien_Childre!C641</f>
        <v>30</v>
      </c>
      <c r="D641">
        <f>[2]HHS_Unaccompanied_Alien_Childre!D641</f>
        <v>8</v>
      </c>
      <c r="E641">
        <f>[2]HHS_Unaccompanied_Alien_Childre!E641</f>
        <v>1980</v>
      </c>
      <c r="F641">
        <f>[3]HHS_Unaccompanied_Alien_Childre!F641</f>
        <v>11</v>
      </c>
      <c r="G641">
        <f t="shared" si="64"/>
        <v>-1</v>
      </c>
      <c r="H641" t="str">
        <f t="shared" si="65"/>
        <v>Decrease</v>
      </c>
      <c r="I641">
        <f t="shared" si="63"/>
        <v>0</v>
      </c>
      <c r="J641">
        <f t="shared" si="66"/>
        <v>1980</v>
      </c>
      <c r="K641">
        <f t="shared" si="67"/>
        <v>1994</v>
      </c>
      <c r="L641">
        <f t="shared" si="68"/>
        <v>2042</v>
      </c>
      <c r="M641">
        <f t="shared" si="69"/>
        <v>1987.5</v>
      </c>
    </row>
    <row r="642" spans="1:13" x14ac:dyDescent="0.3">
      <c r="A642" s="2">
        <f>[1]HHS_Unaccompanied_Alien_Childre!G642</f>
        <v>45895</v>
      </c>
      <c r="B642">
        <f>[2]HHS_Unaccompanied_Alien_Childre!B642</f>
        <v>10</v>
      </c>
      <c r="C642">
        <f>[3]HHS_Unaccompanied_Alien_Childre!C642</f>
        <v>21</v>
      </c>
      <c r="D642">
        <f>[2]HHS_Unaccompanied_Alien_Childre!D642</f>
        <v>20</v>
      </c>
      <c r="E642">
        <f>[2]HHS_Unaccompanied_Alien_Childre!E642</f>
        <v>1989</v>
      </c>
      <c r="F642">
        <f>[3]HHS_Unaccompanied_Alien_Childre!F642</f>
        <v>15</v>
      </c>
      <c r="G642">
        <f t="shared" si="64"/>
        <v>9</v>
      </c>
      <c r="H642" t="str">
        <f t="shared" si="65"/>
        <v>Increase</v>
      </c>
      <c r="I642">
        <f t="shared" si="63"/>
        <v>-10</v>
      </c>
      <c r="J642">
        <f t="shared" si="66"/>
        <v>1989</v>
      </c>
      <c r="K642">
        <f t="shared" si="67"/>
        <v>1991</v>
      </c>
      <c r="L642">
        <f t="shared" si="68"/>
        <v>2036</v>
      </c>
      <c r="M642">
        <f t="shared" si="69"/>
        <v>1985.5</v>
      </c>
    </row>
    <row r="643" spans="1:13" x14ac:dyDescent="0.3">
      <c r="A643" s="2">
        <f>[1]HHS_Unaccompanied_Alien_Childre!G643</f>
        <v>45896</v>
      </c>
      <c r="B643">
        <f>[2]HHS_Unaccompanied_Alien_Childre!B643</f>
        <v>5</v>
      </c>
      <c r="C643">
        <f>[3]HHS_Unaccompanied_Alien_Childre!C643</f>
        <v>19</v>
      </c>
      <c r="D643">
        <f>[2]HHS_Unaccompanied_Alien_Childre!D643</f>
        <v>9</v>
      </c>
      <c r="E643">
        <f>[2]HHS_Unaccompanied_Alien_Childre!E643</f>
        <v>1988</v>
      </c>
      <c r="F643">
        <f>[3]HHS_Unaccompanied_Alien_Childre!F643</f>
        <v>19</v>
      </c>
      <c r="G643">
        <f t="shared" si="64"/>
        <v>-1</v>
      </c>
      <c r="H643" t="str">
        <f t="shared" si="65"/>
        <v>Decrease</v>
      </c>
      <c r="I643">
        <f t="shared" ref="I643:I706" si="70">B643-D643</f>
        <v>-4</v>
      </c>
      <c r="J643">
        <f t="shared" si="66"/>
        <v>1988</v>
      </c>
      <c r="K643">
        <f t="shared" si="67"/>
        <v>1985</v>
      </c>
      <c r="L643">
        <f t="shared" si="68"/>
        <v>2031</v>
      </c>
      <c r="M643">
        <f t="shared" si="69"/>
        <v>1987</v>
      </c>
    </row>
    <row r="644" spans="1:13" x14ac:dyDescent="0.3">
      <c r="A644" s="2">
        <f>[1]HHS_Unaccompanied_Alien_Childre!G644</f>
        <v>45897</v>
      </c>
      <c r="B644">
        <f>[2]HHS_Unaccompanied_Alien_Childre!B644</f>
        <v>8</v>
      </c>
      <c r="C644">
        <f>[3]HHS_Unaccompanied_Alien_Childre!C644</f>
        <v>33</v>
      </c>
      <c r="D644">
        <f>[2]HHS_Unaccompanied_Alien_Childre!D644</f>
        <v>6</v>
      </c>
      <c r="E644">
        <f>[2]HHS_Unaccompanied_Alien_Childre!E644</f>
        <v>1984</v>
      </c>
      <c r="F644">
        <f>[3]HHS_Unaccompanied_Alien_Childre!F644</f>
        <v>17</v>
      </c>
      <c r="G644">
        <f t="shared" ref="G644:G707" si="71">E644-E643</f>
        <v>-4</v>
      </c>
      <c r="H644" t="str">
        <f t="shared" ref="H644:H707" si="72">IF(G644&gt;0,"Increase",IF(G644&lt;0,"Decrease","No Change"))</f>
        <v>Decrease</v>
      </c>
      <c r="I644">
        <f t="shared" si="70"/>
        <v>2</v>
      </c>
      <c r="J644">
        <f t="shared" si="66"/>
        <v>1984</v>
      </c>
      <c r="K644">
        <f t="shared" si="67"/>
        <v>1980</v>
      </c>
      <c r="L644">
        <f t="shared" si="68"/>
        <v>2006</v>
      </c>
      <c r="M644">
        <f t="shared" si="69"/>
        <v>1984</v>
      </c>
    </row>
    <row r="645" spans="1:13" x14ac:dyDescent="0.3">
      <c r="A645" s="2">
        <f>[1]HHS_Unaccompanied_Alien_Childre!G645</f>
        <v>45901</v>
      </c>
      <c r="B645">
        <f>[2]HHS_Unaccompanied_Alien_Childre!B645</f>
        <v>10</v>
      </c>
      <c r="C645">
        <f>[3]HHS_Unaccompanied_Alien_Childre!C645</f>
        <v>29</v>
      </c>
      <c r="D645">
        <f>[2]HHS_Unaccompanied_Alien_Childre!D645</f>
        <v>17</v>
      </c>
      <c r="E645">
        <f>[2]HHS_Unaccompanied_Alien_Childre!E645</f>
        <v>2010</v>
      </c>
      <c r="F645">
        <f>[3]HHS_Unaccompanied_Alien_Childre!F645</f>
        <v>5</v>
      </c>
      <c r="G645">
        <f t="shared" si="71"/>
        <v>26</v>
      </c>
      <c r="H645" t="str">
        <f t="shared" si="72"/>
        <v>Increase</v>
      </c>
      <c r="I645">
        <f t="shared" si="70"/>
        <v>-7</v>
      </c>
      <c r="J645">
        <f t="shared" si="66"/>
        <v>2010</v>
      </c>
      <c r="K645">
        <f t="shared" si="67"/>
        <v>1983</v>
      </c>
      <c r="L645">
        <f t="shared" si="68"/>
        <v>1999</v>
      </c>
      <c r="M645">
        <f t="shared" si="69"/>
        <v>1983.5</v>
      </c>
    </row>
    <row r="646" spans="1:13" x14ac:dyDescent="0.3">
      <c r="A646" s="2">
        <f>[1]HHS_Unaccompanied_Alien_Childre!G646</f>
        <v>45902</v>
      </c>
      <c r="B646">
        <f>[2]HHS_Unaccompanied_Alien_Childre!B646</f>
        <v>6</v>
      </c>
      <c r="C646">
        <f>[3]HHS_Unaccompanied_Alien_Childre!C646</f>
        <v>35</v>
      </c>
      <c r="D646">
        <f>[2]HHS_Unaccompanied_Alien_Childre!D646</f>
        <v>9</v>
      </c>
      <c r="E646">
        <f>[2]HHS_Unaccompanied_Alien_Childre!E646</f>
        <v>2020</v>
      </c>
      <c r="F646">
        <f>[3]HHS_Unaccompanied_Alien_Childre!F646</f>
        <v>9</v>
      </c>
      <c r="G646">
        <f t="shared" si="71"/>
        <v>10</v>
      </c>
      <c r="H646" t="str">
        <f t="shared" si="72"/>
        <v>Increase</v>
      </c>
      <c r="I646">
        <f t="shared" si="70"/>
        <v>-3</v>
      </c>
      <c r="J646">
        <f t="shared" si="66"/>
        <v>2020</v>
      </c>
      <c r="K646">
        <f t="shared" si="67"/>
        <v>1972</v>
      </c>
      <c r="L646">
        <f t="shared" si="68"/>
        <v>1999</v>
      </c>
      <c r="M646">
        <f t="shared" si="69"/>
        <v>1991</v>
      </c>
    </row>
    <row r="647" spans="1:13" x14ac:dyDescent="0.3">
      <c r="A647" s="2">
        <f>[1]HHS_Unaccompanied_Alien_Childre!G647</f>
        <v>45903</v>
      </c>
      <c r="B647">
        <f>[2]HHS_Unaccompanied_Alien_Childre!B647</f>
        <v>4</v>
      </c>
      <c r="C647">
        <f>[3]HHS_Unaccompanied_Alien_Childre!C647</f>
        <v>29</v>
      </c>
      <c r="D647">
        <f>[2]HHS_Unaccompanied_Alien_Childre!D647</f>
        <v>11</v>
      </c>
      <c r="E647">
        <f>[2]HHS_Unaccompanied_Alien_Childre!E647</f>
        <v>2019</v>
      </c>
      <c r="F647">
        <f>[3]HHS_Unaccompanied_Alien_Childre!F647</f>
        <v>10</v>
      </c>
      <c r="G647">
        <f t="shared" si="71"/>
        <v>-1</v>
      </c>
      <c r="H647" t="str">
        <f t="shared" si="72"/>
        <v>Decrease</v>
      </c>
      <c r="I647">
        <f t="shared" si="70"/>
        <v>-7</v>
      </c>
      <c r="J647">
        <f t="shared" si="66"/>
        <v>2019</v>
      </c>
      <c r="K647">
        <f t="shared" si="67"/>
        <v>1981</v>
      </c>
      <c r="L647">
        <f t="shared" si="68"/>
        <v>1997</v>
      </c>
      <c r="M647">
        <f t="shared" si="69"/>
        <v>2000.5</v>
      </c>
    </row>
    <row r="648" spans="1:13" x14ac:dyDescent="0.3">
      <c r="A648" s="2">
        <f>[1]HHS_Unaccompanied_Alien_Childre!G648</f>
        <v>45904</v>
      </c>
      <c r="B648">
        <f>[2]HHS_Unaccompanied_Alien_Childre!B648</f>
        <v>11</v>
      </c>
      <c r="C648">
        <f>[3]HHS_Unaccompanied_Alien_Childre!C648</f>
        <v>40</v>
      </c>
      <c r="D648">
        <f>[2]HHS_Unaccompanied_Alien_Childre!D648</f>
        <v>2</v>
      </c>
      <c r="E648">
        <f>[2]HHS_Unaccompanied_Alien_Childre!E648</f>
        <v>2015</v>
      </c>
      <c r="F648">
        <f>[3]HHS_Unaccompanied_Alien_Childre!F648</f>
        <v>14</v>
      </c>
      <c r="G648">
        <f t="shared" si="71"/>
        <v>-4</v>
      </c>
      <c r="H648" t="str">
        <f t="shared" si="72"/>
        <v>Decrease</v>
      </c>
      <c r="I648">
        <f t="shared" si="70"/>
        <v>9</v>
      </c>
      <c r="J648">
        <f t="shared" si="66"/>
        <v>2015</v>
      </c>
      <c r="K648">
        <f t="shared" si="67"/>
        <v>1980</v>
      </c>
      <c r="L648">
        <f t="shared" si="68"/>
        <v>1994</v>
      </c>
      <c r="M648">
        <f t="shared" si="69"/>
        <v>1999.5</v>
      </c>
    </row>
    <row r="649" spans="1:13" x14ac:dyDescent="0.3">
      <c r="A649" s="2">
        <f>[1]HHS_Unaccompanied_Alien_Childre!G649</f>
        <v>45907</v>
      </c>
      <c r="B649">
        <f>[2]HHS_Unaccompanied_Alien_Childre!B649</f>
        <v>4</v>
      </c>
      <c r="C649">
        <f>[3]HHS_Unaccompanied_Alien_Childre!C649</f>
        <v>19</v>
      </c>
      <c r="D649">
        <f>[2]HHS_Unaccompanied_Alien_Childre!D649</f>
        <v>9</v>
      </c>
      <c r="E649">
        <f>[2]HHS_Unaccompanied_Alien_Childre!E649</f>
        <v>2026</v>
      </c>
      <c r="F649">
        <f>[3]HHS_Unaccompanied_Alien_Childre!F649</f>
        <v>7</v>
      </c>
      <c r="G649">
        <f t="shared" si="71"/>
        <v>11</v>
      </c>
      <c r="H649" t="str">
        <f t="shared" si="72"/>
        <v>Increase</v>
      </c>
      <c r="I649">
        <f t="shared" si="70"/>
        <v>-5</v>
      </c>
      <c r="J649">
        <f t="shared" si="66"/>
        <v>2026</v>
      </c>
      <c r="K649">
        <f t="shared" si="67"/>
        <v>1989</v>
      </c>
      <c r="L649">
        <f t="shared" si="68"/>
        <v>1991</v>
      </c>
      <c r="M649">
        <f t="shared" si="69"/>
        <v>2002</v>
      </c>
    </row>
    <row r="650" spans="1:13" x14ac:dyDescent="0.3">
      <c r="A650" s="2">
        <f>[1]HHS_Unaccompanied_Alien_Childre!G650</f>
        <v>45908</v>
      </c>
      <c r="B650">
        <f>[2]HHS_Unaccompanied_Alien_Childre!B650</f>
        <v>7</v>
      </c>
      <c r="C650">
        <f>[3]HHS_Unaccompanied_Alien_Childre!C650</f>
        <v>25</v>
      </c>
      <c r="D650">
        <f>[2]HHS_Unaccompanied_Alien_Childre!D650</f>
        <v>5</v>
      </c>
      <c r="E650">
        <f>[2]HHS_Unaccompanied_Alien_Childre!E650</f>
        <v>2025</v>
      </c>
      <c r="F650">
        <f>[3]HHS_Unaccompanied_Alien_Childre!F650</f>
        <v>6</v>
      </c>
      <c r="G650">
        <f t="shared" si="71"/>
        <v>-1</v>
      </c>
      <c r="H650" t="str">
        <f t="shared" si="72"/>
        <v>Decrease</v>
      </c>
      <c r="I650">
        <f t="shared" si="70"/>
        <v>2</v>
      </c>
      <c r="J650">
        <f t="shared" si="66"/>
        <v>2025</v>
      </c>
      <c r="K650">
        <f t="shared" si="67"/>
        <v>1988</v>
      </c>
      <c r="L650">
        <f t="shared" si="68"/>
        <v>1985</v>
      </c>
      <c r="M650">
        <f t="shared" si="69"/>
        <v>2007</v>
      </c>
    </row>
    <row r="651" spans="1:13" x14ac:dyDescent="0.3">
      <c r="A651" s="2">
        <f>[1]HHS_Unaccompanied_Alien_Childre!G651</f>
        <v>45909</v>
      </c>
      <c r="B651">
        <f>[2]HHS_Unaccompanied_Alien_Childre!B651</f>
        <v>18</v>
      </c>
      <c r="C651">
        <f>[3]HHS_Unaccompanied_Alien_Childre!C651</f>
        <v>42</v>
      </c>
      <c r="D651">
        <f>[2]HHS_Unaccompanied_Alien_Childre!D651</f>
        <v>11</v>
      </c>
      <c r="E651">
        <f>[2]HHS_Unaccompanied_Alien_Childre!E651</f>
        <v>2023</v>
      </c>
      <c r="F651">
        <f>[3]HHS_Unaccompanied_Alien_Childre!F651</f>
        <v>14</v>
      </c>
      <c r="G651">
        <f t="shared" si="71"/>
        <v>-2</v>
      </c>
      <c r="H651" t="str">
        <f t="shared" si="72"/>
        <v>Decrease</v>
      </c>
      <c r="I651">
        <f t="shared" si="70"/>
        <v>7</v>
      </c>
      <c r="J651">
        <f t="shared" si="66"/>
        <v>2023</v>
      </c>
      <c r="K651">
        <f t="shared" si="67"/>
        <v>1984</v>
      </c>
      <c r="L651">
        <f t="shared" si="68"/>
        <v>1980</v>
      </c>
      <c r="M651">
        <f t="shared" si="69"/>
        <v>2004.5</v>
      </c>
    </row>
    <row r="652" spans="1:13" x14ac:dyDescent="0.3">
      <c r="A652" s="2">
        <f>[1]HHS_Unaccompanied_Alien_Childre!G652</f>
        <v>45910</v>
      </c>
      <c r="B652">
        <f>[2]HHS_Unaccompanied_Alien_Childre!B652</f>
        <v>10</v>
      </c>
      <c r="C652">
        <f>[3]HHS_Unaccompanied_Alien_Childre!C652</f>
        <v>47</v>
      </c>
      <c r="D652">
        <f>[2]HHS_Unaccompanied_Alien_Childre!D652</f>
        <v>14</v>
      </c>
      <c r="E652">
        <f>[2]HHS_Unaccompanied_Alien_Childre!E652</f>
        <v>2025</v>
      </c>
      <c r="F652">
        <f>[3]HHS_Unaccompanied_Alien_Childre!F652</f>
        <v>18</v>
      </c>
      <c r="G652">
        <f t="shared" si="71"/>
        <v>2</v>
      </c>
      <c r="H652" t="str">
        <f t="shared" si="72"/>
        <v>Increase</v>
      </c>
      <c r="I652">
        <f t="shared" si="70"/>
        <v>-4</v>
      </c>
      <c r="J652">
        <f t="shared" si="66"/>
        <v>2025</v>
      </c>
      <c r="K652">
        <f t="shared" si="67"/>
        <v>2010</v>
      </c>
      <c r="L652">
        <f t="shared" si="68"/>
        <v>1983</v>
      </c>
      <c r="M652">
        <f t="shared" si="69"/>
        <v>2016.5</v>
      </c>
    </row>
    <row r="653" spans="1:13" x14ac:dyDescent="0.3">
      <c r="A653" s="2">
        <f>[1]HHS_Unaccompanied_Alien_Childre!G653</f>
        <v>45911</v>
      </c>
      <c r="B653">
        <f>[2]HHS_Unaccompanied_Alien_Childre!B653</f>
        <v>12</v>
      </c>
      <c r="C653">
        <f>[3]HHS_Unaccompanied_Alien_Childre!C653</f>
        <v>38</v>
      </c>
      <c r="D653">
        <f>[2]HHS_Unaccompanied_Alien_Childre!D653</f>
        <v>29</v>
      </c>
      <c r="E653">
        <f>[2]HHS_Unaccompanied_Alien_Childre!E653</f>
        <v>2047</v>
      </c>
      <c r="F653">
        <f>[3]HHS_Unaccompanied_Alien_Childre!F653</f>
        <v>6</v>
      </c>
      <c r="G653">
        <f t="shared" si="71"/>
        <v>22</v>
      </c>
      <c r="H653" t="str">
        <f t="shared" si="72"/>
        <v>Increase</v>
      </c>
      <c r="I653">
        <f t="shared" si="70"/>
        <v>-17</v>
      </c>
      <c r="J653">
        <f t="shared" si="66"/>
        <v>2047</v>
      </c>
      <c r="K653">
        <f t="shared" si="67"/>
        <v>2020</v>
      </c>
      <c r="L653">
        <f t="shared" si="68"/>
        <v>1972</v>
      </c>
      <c r="M653">
        <f t="shared" si="69"/>
        <v>2022.5</v>
      </c>
    </row>
    <row r="654" spans="1:13" x14ac:dyDescent="0.3">
      <c r="A654" s="2">
        <f>[1]HHS_Unaccompanied_Alien_Childre!G654</f>
        <v>45914</v>
      </c>
      <c r="B654">
        <f>[2]HHS_Unaccompanied_Alien_Childre!B654</f>
        <v>7</v>
      </c>
      <c r="C654">
        <f>[3]HHS_Unaccompanied_Alien_Childre!C654</f>
        <v>39</v>
      </c>
      <c r="D654">
        <f>[2]HHS_Unaccompanied_Alien_Childre!D654</f>
        <v>13</v>
      </c>
      <c r="E654">
        <f>[2]HHS_Unaccompanied_Alien_Childre!E654</f>
        <v>2083</v>
      </c>
      <c r="F654">
        <f>[3]HHS_Unaccompanied_Alien_Childre!F654</f>
        <v>5</v>
      </c>
      <c r="G654">
        <f t="shared" si="71"/>
        <v>36</v>
      </c>
      <c r="H654" t="str">
        <f t="shared" si="72"/>
        <v>Increase</v>
      </c>
      <c r="I654">
        <f t="shared" si="70"/>
        <v>-6</v>
      </c>
      <c r="J654">
        <f t="shared" si="66"/>
        <v>2083</v>
      </c>
      <c r="K654">
        <f t="shared" si="67"/>
        <v>2019</v>
      </c>
      <c r="L654">
        <f t="shared" si="68"/>
        <v>1981</v>
      </c>
      <c r="M654">
        <f t="shared" si="69"/>
        <v>2033</v>
      </c>
    </row>
    <row r="655" spans="1:13" x14ac:dyDescent="0.3">
      <c r="A655" s="2">
        <f>[1]HHS_Unaccompanied_Alien_Childre!G655</f>
        <v>45915</v>
      </c>
      <c r="B655">
        <f>[2]HHS_Unaccompanied_Alien_Childre!B655</f>
        <v>9</v>
      </c>
      <c r="C655">
        <f>[3]HHS_Unaccompanied_Alien_Childre!C655</f>
        <v>47</v>
      </c>
      <c r="D655">
        <f>[2]HHS_Unaccompanied_Alien_Childre!D655</f>
        <v>10</v>
      </c>
      <c r="E655">
        <f>[2]HHS_Unaccompanied_Alien_Childre!E655</f>
        <v>2086</v>
      </c>
      <c r="F655">
        <f>[3]HHS_Unaccompanied_Alien_Childre!F655</f>
        <v>10</v>
      </c>
      <c r="G655">
        <f t="shared" si="71"/>
        <v>3</v>
      </c>
      <c r="H655" t="str">
        <f t="shared" si="72"/>
        <v>Increase</v>
      </c>
      <c r="I655">
        <f t="shared" si="70"/>
        <v>-1</v>
      </c>
      <c r="J655">
        <f t="shared" si="66"/>
        <v>2086</v>
      </c>
      <c r="K655">
        <f t="shared" si="67"/>
        <v>2015</v>
      </c>
      <c r="L655">
        <f t="shared" si="68"/>
        <v>1980</v>
      </c>
      <c r="M655">
        <f t="shared" si="69"/>
        <v>2049</v>
      </c>
    </row>
    <row r="656" spans="1:13" x14ac:dyDescent="0.3">
      <c r="A656" s="2">
        <f>[1]HHS_Unaccompanied_Alien_Childre!G656</f>
        <v>45916</v>
      </c>
      <c r="B656">
        <f>[2]HHS_Unaccompanied_Alien_Childre!B656</f>
        <v>7</v>
      </c>
      <c r="C656">
        <f>[3]HHS_Unaccompanied_Alien_Childre!C656</f>
        <v>28</v>
      </c>
      <c r="D656">
        <f>[2]HHS_Unaccompanied_Alien_Childre!D656</f>
        <v>17</v>
      </c>
      <c r="E656">
        <f>[2]HHS_Unaccompanied_Alien_Childre!E656</f>
        <v>2095</v>
      </c>
      <c r="F656">
        <f>[3]HHS_Unaccompanied_Alien_Childre!F656</f>
        <v>12</v>
      </c>
      <c r="G656">
        <f t="shared" si="71"/>
        <v>9</v>
      </c>
      <c r="H656" t="str">
        <f t="shared" si="72"/>
        <v>Increase</v>
      </c>
      <c r="I656">
        <f t="shared" si="70"/>
        <v>-10</v>
      </c>
      <c r="J656">
        <f t="shared" si="66"/>
        <v>2095</v>
      </c>
      <c r="K656">
        <f t="shared" si="67"/>
        <v>2026</v>
      </c>
      <c r="L656">
        <f t="shared" si="68"/>
        <v>1989</v>
      </c>
      <c r="M656">
        <f t="shared" si="69"/>
        <v>2056</v>
      </c>
    </row>
    <row r="657" spans="1:13" x14ac:dyDescent="0.3">
      <c r="A657" s="2">
        <f>[1]HHS_Unaccompanied_Alien_Childre!G657</f>
        <v>45917</v>
      </c>
      <c r="B657">
        <f>[2]HHS_Unaccompanied_Alien_Childre!B657</f>
        <v>7</v>
      </c>
      <c r="C657">
        <f>[3]HHS_Unaccompanied_Alien_Childre!C657</f>
        <v>38</v>
      </c>
      <c r="D657">
        <f>[2]HHS_Unaccompanied_Alien_Childre!D657</f>
        <v>5</v>
      </c>
      <c r="E657">
        <f>[2]HHS_Unaccompanied_Alien_Childre!E657</f>
        <v>2096</v>
      </c>
      <c r="F657">
        <f>[3]HHS_Unaccompanied_Alien_Childre!F657</f>
        <v>13</v>
      </c>
      <c r="G657">
        <f t="shared" si="71"/>
        <v>1</v>
      </c>
      <c r="H657" t="str">
        <f t="shared" si="72"/>
        <v>Increase</v>
      </c>
      <c r="I657">
        <f t="shared" si="70"/>
        <v>2</v>
      </c>
      <c r="J657">
        <f t="shared" ref="J657:J720" si="73">E657</f>
        <v>2096</v>
      </c>
      <c r="K657">
        <f t="shared" ref="K657:K720" si="74">E650</f>
        <v>2025</v>
      </c>
      <c r="L657">
        <f t="shared" ref="L657:L720" si="75">E643</f>
        <v>1988</v>
      </c>
      <c r="M657">
        <f t="shared" ref="M657:M720" si="76">AVERAGE(E650,E656)</f>
        <v>2060</v>
      </c>
    </row>
    <row r="658" spans="1:13" x14ac:dyDescent="0.3">
      <c r="A658" s="2">
        <f>[1]HHS_Unaccompanied_Alien_Childre!G658</f>
        <v>45918</v>
      </c>
      <c r="B658">
        <f>[2]HHS_Unaccompanied_Alien_Childre!B658</f>
        <v>20</v>
      </c>
      <c r="C658">
        <f>[3]HHS_Unaccompanied_Alien_Childre!C658</f>
        <v>52</v>
      </c>
      <c r="D658">
        <f>[2]HHS_Unaccompanied_Alien_Childre!D658</f>
        <v>11</v>
      </c>
      <c r="E658">
        <f>[2]HHS_Unaccompanied_Alien_Childre!E658</f>
        <v>2096</v>
      </c>
      <c r="F658">
        <f>[3]HHS_Unaccompanied_Alien_Childre!F658</f>
        <v>14</v>
      </c>
      <c r="G658">
        <f t="shared" si="71"/>
        <v>0</v>
      </c>
      <c r="H658" t="str">
        <f t="shared" si="72"/>
        <v>No Change</v>
      </c>
      <c r="I658">
        <f t="shared" si="70"/>
        <v>9</v>
      </c>
      <c r="J658">
        <f t="shared" si="73"/>
        <v>2096</v>
      </c>
      <c r="K658">
        <f t="shared" si="74"/>
        <v>2023</v>
      </c>
      <c r="L658">
        <f t="shared" si="75"/>
        <v>1984</v>
      </c>
      <c r="M658">
        <f t="shared" si="76"/>
        <v>2059.5</v>
      </c>
    </row>
    <row r="659" spans="1:13" x14ac:dyDescent="0.3">
      <c r="A659" s="2">
        <f>[1]HHS_Unaccompanied_Alien_Childre!G659</f>
        <v>45921</v>
      </c>
      <c r="B659">
        <f>[2]HHS_Unaccompanied_Alien_Childre!B659</f>
        <v>8</v>
      </c>
      <c r="C659">
        <f>[3]HHS_Unaccompanied_Alien_Childre!C659</f>
        <v>35</v>
      </c>
      <c r="D659">
        <f>[2]HHS_Unaccompanied_Alien_Childre!D659</f>
        <v>13</v>
      </c>
      <c r="E659">
        <f>[2]HHS_Unaccompanied_Alien_Childre!E659</f>
        <v>2134</v>
      </c>
      <c r="F659">
        <f>[3]HHS_Unaccompanied_Alien_Childre!F659</f>
        <v>5</v>
      </c>
      <c r="G659">
        <f t="shared" si="71"/>
        <v>38</v>
      </c>
      <c r="H659" t="str">
        <f t="shared" si="72"/>
        <v>Increase</v>
      </c>
      <c r="I659">
        <f t="shared" si="70"/>
        <v>-5</v>
      </c>
      <c r="J659">
        <f t="shared" si="73"/>
        <v>2134</v>
      </c>
      <c r="K659">
        <f t="shared" si="74"/>
        <v>2025</v>
      </c>
      <c r="L659">
        <f t="shared" si="75"/>
        <v>2010</v>
      </c>
      <c r="M659">
        <f t="shared" si="76"/>
        <v>2060.5</v>
      </c>
    </row>
    <row r="660" spans="1:13" x14ac:dyDescent="0.3">
      <c r="A660" s="2">
        <f>[1]HHS_Unaccompanied_Alien_Childre!G660</f>
        <v>45922</v>
      </c>
      <c r="B660">
        <f>[2]HHS_Unaccompanied_Alien_Childre!B660</f>
        <v>17</v>
      </c>
      <c r="C660">
        <f>[3]HHS_Unaccompanied_Alien_Childre!C660</f>
        <v>40</v>
      </c>
      <c r="D660">
        <f>[2]HHS_Unaccompanied_Alien_Childre!D660</f>
        <v>14</v>
      </c>
      <c r="E660">
        <f>[2]HHS_Unaccompanied_Alien_Childre!E660</f>
        <v>2141</v>
      </c>
      <c r="F660">
        <f>[3]HHS_Unaccompanied_Alien_Childre!F660</f>
        <v>10</v>
      </c>
      <c r="G660">
        <f t="shared" si="71"/>
        <v>7</v>
      </c>
      <c r="H660" t="str">
        <f t="shared" si="72"/>
        <v>Increase</v>
      </c>
      <c r="I660">
        <f t="shared" si="70"/>
        <v>3</v>
      </c>
      <c r="J660">
        <f t="shared" si="73"/>
        <v>2141</v>
      </c>
      <c r="K660">
        <f t="shared" si="74"/>
        <v>2047</v>
      </c>
      <c r="L660">
        <f t="shared" si="75"/>
        <v>2020</v>
      </c>
      <c r="M660">
        <f t="shared" si="76"/>
        <v>2090.5</v>
      </c>
    </row>
    <row r="661" spans="1:13" x14ac:dyDescent="0.3">
      <c r="A661" s="2">
        <f>[1]HHS_Unaccompanied_Alien_Childre!G661</f>
        <v>45923</v>
      </c>
      <c r="B661">
        <f>[2]HHS_Unaccompanied_Alien_Childre!B661</f>
        <v>11</v>
      </c>
      <c r="C661">
        <f>[3]HHS_Unaccompanied_Alien_Childre!C661</f>
        <v>36</v>
      </c>
      <c r="D661">
        <f>[2]HHS_Unaccompanied_Alien_Childre!D661</f>
        <v>10</v>
      </c>
      <c r="E661">
        <f>[2]HHS_Unaccompanied_Alien_Childre!E661</f>
        <v>2145</v>
      </c>
      <c r="F661">
        <f>[3]HHS_Unaccompanied_Alien_Childre!F661</f>
        <v>15</v>
      </c>
      <c r="G661">
        <f t="shared" si="71"/>
        <v>4</v>
      </c>
      <c r="H661" t="str">
        <f t="shared" si="72"/>
        <v>Increase</v>
      </c>
      <c r="I661">
        <f t="shared" si="70"/>
        <v>1</v>
      </c>
      <c r="J661">
        <f t="shared" si="73"/>
        <v>2145</v>
      </c>
      <c r="K661">
        <f t="shared" si="74"/>
        <v>2083</v>
      </c>
      <c r="L661">
        <f t="shared" si="75"/>
        <v>2019</v>
      </c>
      <c r="M661">
        <f t="shared" si="76"/>
        <v>2112</v>
      </c>
    </row>
    <row r="662" spans="1:13" x14ac:dyDescent="0.3">
      <c r="A662" s="2">
        <f>[1]HHS_Unaccompanied_Alien_Childre!G662</f>
        <v>45924</v>
      </c>
      <c r="B662">
        <f>[2]HHS_Unaccompanied_Alien_Childre!B662</f>
        <v>3</v>
      </c>
      <c r="C662">
        <f>[3]HHS_Unaccompanied_Alien_Childre!C662</f>
        <v>38</v>
      </c>
      <c r="D662">
        <f>[2]HHS_Unaccompanied_Alien_Childre!D662</f>
        <v>12</v>
      </c>
      <c r="E662">
        <f>[2]HHS_Unaccompanied_Alien_Childre!E662</f>
        <v>2138</v>
      </c>
      <c r="F662">
        <f>[3]HHS_Unaccompanied_Alien_Childre!F662</f>
        <v>17</v>
      </c>
      <c r="G662">
        <f t="shared" si="71"/>
        <v>-7</v>
      </c>
      <c r="H662" t="str">
        <f t="shared" si="72"/>
        <v>Decrease</v>
      </c>
      <c r="I662">
        <f t="shared" si="70"/>
        <v>-9</v>
      </c>
      <c r="J662">
        <f t="shared" si="73"/>
        <v>2138</v>
      </c>
      <c r="K662">
        <f t="shared" si="74"/>
        <v>2086</v>
      </c>
      <c r="L662">
        <f t="shared" si="75"/>
        <v>2015</v>
      </c>
      <c r="M662">
        <f t="shared" si="76"/>
        <v>2115.5</v>
      </c>
    </row>
    <row r="663" spans="1:13" x14ac:dyDescent="0.3">
      <c r="A663" s="2">
        <f>[1]HHS_Unaccompanied_Alien_Childre!G663</f>
        <v>45925</v>
      </c>
      <c r="B663">
        <f>[2]HHS_Unaccompanied_Alien_Childre!B663</f>
        <v>6</v>
      </c>
      <c r="C663">
        <f>[3]HHS_Unaccompanied_Alien_Childre!C663</f>
        <v>35</v>
      </c>
      <c r="D663">
        <f>[2]HHS_Unaccompanied_Alien_Childre!D663</f>
        <v>12</v>
      </c>
      <c r="E663">
        <f>[2]HHS_Unaccompanied_Alien_Childre!E663</f>
        <v>2132</v>
      </c>
      <c r="F663">
        <f>[3]HHS_Unaccompanied_Alien_Childre!F663</f>
        <v>18</v>
      </c>
      <c r="G663">
        <f t="shared" si="71"/>
        <v>-6</v>
      </c>
      <c r="H663" t="str">
        <f t="shared" si="72"/>
        <v>Decrease</v>
      </c>
      <c r="I663">
        <f t="shared" si="70"/>
        <v>-6</v>
      </c>
      <c r="J663">
        <f t="shared" si="73"/>
        <v>2132</v>
      </c>
      <c r="K663">
        <f t="shared" si="74"/>
        <v>2095</v>
      </c>
      <c r="L663">
        <f t="shared" si="75"/>
        <v>2026</v>
      </c>
      <c r="M663">
        <f t="shared" si="76"/>
        <v>2116.5</v>
      </c>
    </row>
    <row r="664" spans="1:13" x14ac:dyDescent="0.3">
      <c r="A664" s="2">
        <f>[1]HHS_Unaccompanied_Alien_Childre!G664</f>
        <v>45928</v>
      </c>
      <c r="B664">
        <f>[2]HHS_Unaccompanied_Alien_Childre!B664</f>
        <v>11</v>
      </c>
      <c r="C664">
        <f>[3]HHS_Unaccompanied_Alien_Childre!C664</f>
        <v>29</v>
      </c>
      <c r="D664">
        <f>[2]HHS_Unaccompanied_Alien_Childre!D664</f>
        <v>12</v>
      </c>
      <c r="E664">
        <f>[2]HHS_Unaccompanied_Alien_Childre!E664</f>
        <v>2146</v>
      </c>
      <c r="F664">
        <f>[3]HHS_Unaccompanied_Alien_Childre!F664</f>
        <v>9</v>
      </c>
      <c r="G664">
        <f t="shared" si="71"/>
        <v>14</v>
      </c>
      <c r="H664" t="str">
        <f t="shared" si="72"/>
        <v>Increase</v>
      </c>
      <c r="I664">
        <f t="shared" si="70"/>
        <v>-1</v>
      </c>
      <c r="J664">
        <f t="shared" si="73"/>
        <v>2146</v>
      </c>
      <c r="K664">
        <f t="shared" si="74"/>
        <v>2096</v>
      </c>
      <c r="L664">
        <f t="shared" si="75"/>
        <v>2025</v>
      </c>
      <c r="M664">
        <f t="shared" si="76"/>
        <v>2114</v>
      </c>
    </row>
    <row r="665" spans="1:13" x14ac:dyDescent="0.3">
      <c r="A665" s="2">
        <f>[1]HHS_Unaccompanied_Alien_Childre!G665</f>
        <v>45929</v>
      </c>
      <c r="B665">
        <f>[2]HHS_Unaccompanied_Alien_Childre!B665</f>
        <v>8</v>
      </c>
      <c r="C665">
        <f>[3]HHS_Unaccompanied_Alien_Childre!C665</f>
        <v>35</v>
      </c>
      <c r="D665">
        <f>[2]HHS_Unaccompanied_Alien_Childre!D665</f>
        <v>12</v>
      </c>
      <c r="E665">
        <f>[2]HHS_Unaccompanied_Alien_Childre!E665</f>
        <v>2148</v>
      </c>
      <c r="F665">
        <f>[3]HHS_Unaccompanied_Alien_Childre!F665</f>
        <v>13</v>
      </c>
      <c r="G665">
        <f t="shared" si="71"/>
        <v>2</v>
      </c>
      <c r="H665" t="str">
        <f t="shared" si="72"/>
        <v>Increase</v>
      </c>
      <c r="I665">
        <f t="shared" si="70"/>
        <v>-4</v>
      </c>
      <c r="J665">
        <f t="shared" si="73"/>
        <v>2148</v>
      </c>
      <c r="K665">
        <f t="shared" si="74"/>
        <v>2096</v>
      </c>
      <c r="L665">
        <f t="shared" si="75"/>
        <v>2023</v>
      </c>
      <c r="M665">
        <f t="shared" si="76"/>
        <v>2121</v>
      </c>
    </row>
    <row r="666" spans="1:13" x14ac:dyDescent="0.3">
      <c r="A666" s="2">
        <f>[1]HHS_Unaccompanied_Alien_Childre!G666</f>
        <v>45930</v>
      </c>
      <c r="B666">
        <f>[2]HHS_Unaccompanied_Alien_Childre!B666</f>
        <v>8</v>
      </c>
      <c r="C666">
        <f>[3]HHS_Unaccompanied_Alien_Childre!C666</f>
        <v>32</v>
      </c>
      <c r="D666">
        <f>[2]HHS_Unaccompanied_Alien_Childre!D666</f>
        <v>12</v>
      </c>
      <c r="E666">
        <f>[2]HHS_Unaccompanied_Alien_Childre!E666</f>
        <v>2159</v>
      </c>
      <c r="F666">
        <f>[3]HHS_Unaccompanied_Alien_Childre!F666</f>
        <v>7</v>
      </c>
      <c r="G666">
        <f t="shared" si="71"/>
        <v>11</v>
      </c>
      <c r="H666" t="str">
        <f t="shared" si="72"/>
        <v>Increase</v>
      </c>
      <c r="I666">
        <f t="shared" si="70"/>
        <v>-4</v>
      </c>
      <c r="J666">
        <f t="shared" si="73"/>
        <v>2159</v>
      </c>
      <c r="K666">
        <f t="shared" si="74"/>
        <v>2134</v>
      </c>
      <c r="L666">
        <f t="shared" si="75"/>
        <v>2025</v>
      </c>
      <c r="M666">
        <f t="shared" si="76"/>
        <v>2141</v>
      </c>
    </row>
    <row r="667" spans="1:13" x14ac:dyDescent="0.3">
      <c r="A667" s="2">
        <f>[1]HHS_Unaccompanied_Alien_Childre!G667</f>
        <v>45931</v>
      </c>
      <c r="B667">
        <f>[2]HHS_Unaccompanied_Alien_Childre!B667</f>
        <v>4</v>
      </c>
      <c r="C667">
        <f>[3]HHS_Unaccompanied_Alien_Childre!C667</f>
        <v>33</v>
      </c>
      <c r="D667">
        <f>[2]HHS_Unaccompanied_Alien_Childre!D667</f>
        <v>12</v>
      </c>
      <c r="E667">
        <f>[2]HHS_Unaccompanied_Alien_Childre!E667</f>
        <v>2163</v>
      </c>
      <c r="F667">
        <f>[3]HHS_Unaccompanied_Alien_Childre!F667</f>
        <v>14</v>
      </c>
      <c r="G667">
        <f t="shared" si="71"/>
        <v>4</v>
      </c>
      <c r="H667" t="str">
        <f t="shared" si="72"/>
        <v>Increase</v>
      </c>
      <c r="I667">
        <f t="shared" si="70"/>
        <v>-8</v>
      </c>
      <c r="J667">
        <f t="shared" si="73"/>
        <v>2163</v>
      </c>
      <c r="K667">
        <f t="shared" si="74"/>
        <v>2141</v>
      </c>
      <c r="L667">
        <f t="shared" si="75"/>
        <v>2047</v>
      </c>
      <c r="M667">
        <f t="shared" si="76"/>
        <v>2150</v>
      </c>
    </row>
    <row r="668" spans="1:13" x14ac:dyDescent="0.3">
      <c r="A668" s="2">
        <f>[1]HHS_Unaccompanied_Alien_Childre!G668</f>
        <v>45932</v>
      </c>
      <c r="B668">
        <f>[2]HHS_Unaccompanied_Alien_Childre!B668</f>
        <v>20</v>
      </c>
      <c r="C668">
        <f>[3]HHS_Unaccompanied_Alien_Childre!C668</f>
        <v>51</v>
      </c>
      <c r="D668">
        <f>[2]HHS_Unaccompanied_Alien_Childre!D668</f>
        <v>15</v>
      </c>
      <c r="E668">
        <f>[2]HHS_Unaccompanied_Alien_Childre!E668</f>
        <v>2164</v>
      </c>
      <c r="F668">
        <f>[3]HHS_Unaccompanied_Alien_Childre!F668</f>
        <v>16</v>
      </c>
      <c r="G668">
        <f t="shared" si="71"/>
        <v>1</v>
      </c>
      <c r="H668" t="str">
        <f t="shared" si="72"/>
        <v>Increase</v>
      </c>
      <c r="I668">
        <f t="shared" si="70"/>
        <v>5</v>
      </c>
      <c r="J668">
        <f t="shared" si="73"/>
        <v>2164</v>
      </c>
      <c r="K668">
        <f t="shared" si="74"/>
        <v>2145</v>
      </c>
      <c r="L668">
        <f t="shared" si="75"/>
        <v>2083</v>
      </c>
      <c r="M668">
        <f t="shared" si="76"/>
        <v>2154</v>
      </c>
    </row>
    <row r="669" spans="1:13" x14ac:dyDescent="0.3">
      <c r="A669" s="2">
        <f>[1]HHS_Unaccompanied_Alien_Childre!G669</f>
        <v>45935</v>
      </c>
      <c r="B669">
        <f>[2]HHS_Unaccompanied_Alien_Childre!B669</f>
        <v>8</v>
      </c>
      <c r="C669">
        <f>[3]HHS_Unaccompanied_Alien_Childre!C669</f>
        <v>28</v>
      </c>
      <c r="D669">
        <f>[2]HHS_Unaccompanied_Alien_Childre!D669</f>
        <v>13</v>
      </c>
      <c r="E669">
        <f>[2]HHS_Unaccompanied_Alien_Childre!E669</f>
        <v>2180</v>
      </c>
      <c r="F669">
        <f>[3]HHS_Unaccompanied_Alien_Childre!F669</f>
        <v>16</v>
      </c>
      <c r="G669">
        <f t="shared" si="71"/>
        <v>16</v>
      </c>
      <c r="H669" t="str">
        <f t="shared" si="72"/>
        <v>Increase</v>
      </c>
      <c r="I669">
        <f t="shared" si="70"/>
        <v>-5</v>
      </c>
      <c r="J669">
        <f t="shared" si="73"/>
        <v>2180</v>
      </c>
      <c r="K669">
        <f t="shared" si="74"/>
        <v>2138</v>
      </c>
      <c r="L669">
        <f t="shared" si="75"/>
        <v>2086</v>
      </c>
      <c r="M669">
        <f t="shared" si="76"/>
        <v>2151</v>
      </c>
    </row>
    <row r="670" spans="1:13" x14ac:dyDescent="0.3">
      <c r="A670" s="2">
        <f>[1]HHS_Unaccompanied_Alien_Childre!G670</f>
        <v>45936</v>
      </c>
      <c r="B670">
        <f>[2]HHS_Unaccompanied_Alien_Childre!B670</f>
        <v>5</v>
      </c>
      <c r="C670">
        <f>[3]HHS_Unaccompanied_Alien_Childre!C670</f>
        <v>33</v>
      </c>
      <c r="D670">
        <f>[2]HHS_Unaccompanied_Alien_Childre!D670</f>
        <v>15</v>
      </c>
      <c r="E670">
        <f>[2]HHS_Unaccompanied_Alien_Childre!E670</f>
        <v>2187</v>
      </c>
      <c r="F670">
        <f>[3]HHS_Unaccompanied_Alien_Childre!F670</f>
        <v>10</v>
      </c>
      <c r="G670">
        <f t="shared" si="71"/>
        <v>7</v>
      </c>
      <c r="H670" t="str">
        <f t="shared" si="72"/>
        <v>Increase</v>
      </c>
      <c r="I670">
        <f t="shared" si="70"/>
        <v>-10</v>
      </c>
      <c r="J670">
        <f t="shared" si="73"/>
        <v>2187</v>
      </c>
      <c r="K670">
        <f t="shared" si="74"/>
        <v>2132</v>
      </c>
      <c r="L670">
        <f t="shared" si="75"/>
        <v>2095</v>
      </c>
      <c r="M670">
        <f t="shared" si="76"/>
        <v>2156</v>
      </c>
    </row>
    <row r="671" spans="1:13" x14ac:dyDescent="0.3">
      <c r="A671" s="2">
        <f>[1]HHS_Unaccompanied_Alien_Childre!G671</f>
        <v>45937</v>
      </c>
      <c r="B671">
        <f>[2]HHS_Unaccompanied_Alien_Childre!B671</f>
        <v>11</v>
      </c>
      <c r="C671">
        <f>[3]HHS_Unaccompanied_Alien_Childre!C671</f>
        <v>45</v>
      </c>
      <c r="D671">
        <f>[2]HHS_Unaccompanied_Alien_Childre!D671</f>
        <v>4</v>
      </c>
      <c r="E671">
        <f>[2]HHS_Unaccompanied_Alien_Childre!E671</f>
        <v>2189</v>
      </c>
      <c r="F671">
        <f>[3]HHS_Unaccompanied_Alien_Childre!F671</f>
        <v>10</v>
      </c>
      <c r="G671">
        <f t="shared" si="71"/>
        <v>2</v>
      </c>
      <c r="H671" t="str">
        <f t="shared" si="72"/>
        <v>Increase</v>
      </c>
      <c r="I671">
        <f t="shared" si="70"/>
        <v>7</v>
      </c>
      <c r="J671">
        <f t="shared" si="73"/>
        <v>2189</v>
      </c>
      <c r="K671">
        <f t="shared" si="74"/>
        <v>2146</v>
      </c>
      <c r="L671">
        <f t="shared" si="75"/>
        <v>2096</v>
      </c>
      <c r="M671">
        <f t="shared" si="76"/>
        <v>2166.5</v>
      </c>
    </row>
    <row r="672" spans="1:13" x14ac:dyDescent="0.3">
      <c r="A672" s="2">
        <f>[1]HHS_Unaccompanied_Alien_Childre!G672</f>
        <v>45938</v>
      </c>
      <c r="B672">
        <f>[2]HHS_Unaccompanied_Alien_Childre!B672</f>
        <v>8</v>
      </c>
      <c r="C672">
        <f>[3]HHS_Unaccompanied_Alien_Childre!C672</f>
        <v>49</v>
      </c>
      <c r="D672">
        <f>[2]HHS_Unaccompanied_Alien_Childre!D672</f>
        <v>15</v>
      </c>
      <c r="E672">
        <f>[2]HHS_Unaccompanied_Alien_Childre!E672</f>
        <v>2192</v>
      </c>
      <c r="F672">
        <f>[3]HHS_Unaccompanied_Alien_Childre!F672</f>
        <v>17</v>
      </c>
      <c r="G672">
        <f t="shared" si="71"/>
        <v>3</v>
      </c>
      <c r="H672" t="str">
        <f t="shared" si="72"/>
        <v>Increase</v>
      </c>
      <c r="I672">
        <f t="shared" si="70"/>
        <v>-7</v>
      </c>
      <c r="J672">
        <f t="shared" si="73"/>
        <v>2192</v>
      </c>
      <c r="K672">
        <f t="shared" si="74"/>
        <v>2148</v>
      </c>
      <c r="L672">
        <f t="shared" si="75"/>
        <v>2096</v>
      </c>
      <c r="M672">
        <f t="shared" si="76"/>
        <v>2168.5</v>
      </c>
    </row>
    <row r="673" spans="1:13" x14ac:dyDescent="0.3">
      <c r="A673" s="2">
        <f>[1]HHS_Unaccompanied_Alien_Childre!G673</f>
        <v>45939</v>
      </c>
      <c r="B673">
        <f>[2]HHS_Unaccompanied_Alien_Childre!B673</f>
        <v>11</v>
      </c>
      <c r="C673">
        <f>[3]HHS_Unaccompanied_Alien_Childre!C673</f>
        <v>55</v>
      </c>
      <c r="D673">
        <f>[2]HHS_Unaccompanied_Alien_Childre!D673</f>
        <v>13</v>
      </c>
      <c r="E673">
        <f>[2]HHS_Unaccompanied_Alien_Childre!E673</f>
        <v>2192</v>
      </c>
      <c r="F673">
        <f>[3]HHS_Unaccompanied_Alien_Childre!F673</f>
        <v>12</v>
      </c>
      <c r="G673">
        <f t="shared" si="71"/>
        <v>0</v>
      </c>
      <c r="H673" t="str">
        <f t="shared" si="72"/>
        <v>No Change</v>
      </c>
      <c r="I673">
        <f t="shared" si="70"/>
        <v>-2</v>
      </c>
      <c r="J673">
        <f t="shared" si="73"/>
        <v>2192</v>
      </c>
      <c r="K673">
        <f t="shared" si="74"/>
        <v>2159</v>
      </c>
      <c r="L673">
        <f t="shared" si="75"/>
        <v>2134</v>
      </c>
      <c r="M673">
        <f t="shared" si="76"/>
        <v>2175.5</v>
      </c>
    </row>
    <row r="674" spans="1:13" x14ac:dyDescent="0.3">
      <c r="A674" s="2">
        <f>[1]HHS_Unaccompanied_Alien_Childre!G674</f>
        <v>45943</v>
      </c>
      <c r="B674">
        <f>[2]HHS_Unaccompanied_Alien_Childre!B674</f>
        <v>8</v>
      </c>
      <c r="C674">
        <f>[3]HHS_Unaccompanied_Alien_Childre!C674</f>
        <v>24</v>
      </c>
      <c r="D674">
        <f>[2]HHS_Unaccompanied_Alien_Childre!D674</f>
        <v>7</v>
      </c>
      <c r="E674">
        <f>[2]HHS_Unaccompanied_Alien_Childre!E674</f>
        <v>2223</v>
      </c>
      <c r="F674">
        <f>[3]HHS_Unaccompanied_Alien_Childre!F674</f>
        <v>6</v>
      </c>
      <c r="G674">
        <f t="shared" si="71"/>
        <v>31</v>
      </c>
      <c r="H674" t="str">
        <f t="shared" si="72"/>
        <v>Increase</v>
      </c>
      <c r="I674">
        <f t="shared" si="70"/>
        <v>1</v>
      </c>
      <c r="J674">
        <f t="shared" si="73"/>
        <v>2223</v>
      </c>
      <c r="K674">
        <f t="shared" si="74"/>
        <v>2163</v>
      </c>
      <c r="L674">
        <f t="shared" si="75"/>
        <v>2141</v>
      </c>
      <c r="M674">
        <f t="shared" si="76"/>
        <v>2177.5</v>
      </c>
    </row>
    <row r="675" spans="1:13" x14ac:dyDescent="0.3">
      <c r="A675" s="2">
        <f>[1]HHS_Unaccompanied_Alien_Childre!G675</f>
        <v>45944</v>
      </c>
      <c r="B675">
        <f>[2]HHS_Unaccompanied_Alien_Childre!B675</f>
        <v>7</v>
      </c>
      <c r="C675">
        <f>[3]HHS_Unaccompanied_Alien_Childre!C675</f>
        <v>30</v>
      </c>
      <c r="D675">
        <f>[2]HHS_Unaccompanied_Alien_Childre!D675</f>
        <v>16</v>
      </c>
      <c r="E675">
        <f>[2]HHS_Unaccompanied_Alien_Childre!E675</f>
        <v>2235</v>
      </c>
      <c r="F675">
        <f>[3]HHS_Unaccompanied_Alien_Childre!F675</f>
        <v>8</v>
      </c>
      <c r="G675">
        <f t="shared" si="71"/>
        <v>12</v>
      </c>
      <c r="H675" t="str">
        <f t="shared" si="72"/>
        <v>Increase</v>
      </c>
      <c r="I675">
        <f t="shared" si="70"/>
        <v>-9</v>
      </c>
      <c r="J675">
        <f t="shared" si="73"/>
        <v>2235</v>
      </c>
      <c r="K675">
        <f t="shared" si="74"/>
        <v>2164</v>
      </c>
      <c r="L675">
        <f t="shared" si="75"/>
        <v>2145</v>
      </c>
      <c r="M675">
        <f t="shared" si="76"/>
        <v>2193.5</v>
      </c>
    </row>
    <row r="676" spans="1:13" x14ac:dyDescent="0.3">
      <c r="A676" s="2">
        <f>[1]HHS_Unaccompanied_Alien_Childre!G676</f>
        <v>45945</v>
      </c>
      <c r="B676">
        <f>[2]HHS_Unaccompanied_Alien_Childre!B676</f>
        <v>8</v>
      </c>
      <c r="C676">
        <f>[3]HHS_Unaccompanied_Alien_Childre!C676</f>
        <v>29</v>
      </c>
      <c r="D676">
        <f>[2]HHS_Unaccompanied_Alien_Childre!D676</f>
        <v>10</v>
      </c>
      <c r="E676">
        <f>[2]HHS_Unaccompanied_Alien_Childre!E676</f>
        <v>2225</v>
      </c>
      <c r="F676">
        <f>[3]HHS_Unaccompanied_Alien_Childre!F676</f>
        <v>15</v>
      </c>
      <c r="G676">
        <f t="shared" si="71"/>
        <v>-10</v>
      </c>
      <c r="H676" t="str">
        <f t="shared" si="72"/>
        <v>Decrease</v>
      </c>
      <c r="I676">
        <f t="shared" si="70"/>
        <v>-2</v>
      </c>
      <c r="J676">
        <f t="shared" si="73"/>
        <v>2225</v>
      </c>
      <c r="K676">
        <f t="shared" si="74"/>
        <v>2180</v>
      </c>
      <c r="L676">
        <f t="shared" si="75"/>
        <v>2138</v>
      </c>
      <c r="M676">
        <f t="shared" si="76"/>
        <v>2207.5</v>
      </c>
    </row>
    <row r="677" spans="1:13" x14ac:dyDescent="0.3">
      <c r="A677" s="2">
        <f>[1]HHS_Unaccompanied_Alien_Childre!G677</f>
        <v>45946</v>
      </c>
      <c r="B677">
        <f>[2]HHS_Unaccompanied_Alien_Childre!B677</f>
        <v>9</v>
      </c>
      <c r="C677">
        <f>[3]HHS_Unaccompanied_Alien_Childre!C677</f>
        <v>33</v>
      </c>
      <c r="D677">
        <f>[2]HHS_Unaccompanied_Alien_Childre!D677</f>
        <v>15</v>
      </c>
      <c r="E677">
        <f>[2]HHS_Unaccompanied_Alien_Childre!E677</f>
        <v>2233</v>
      </c>
      <c r="F677">
        <f>[3]HHS_Unaccompanied_Alien_Childre!F677</f>
        <v>9</v>
      </c>
      <c r="G677">
        <f t="shared" si="71"/>
        <v>8</v>
      </c>
      <c r="H677" t="str">
        <f t="shared" si="72"/>
        <v>Increase</v>
      </c>
      <c r="I677">
        <f t="shared" si="70"/>
        <v>-6</v>
      </c>
      <c r="J677">
        <f t="shared" si="73"/>
        <v>2233</v>
      </c>
      <c r="K677">
        <f t="shared" si="74"/>
        <v>2187</v>
      </c>
      <c r="L677">
        <f t="shared" si="75"/>
        <v>2132</v>
      </c>
      <c r="M677">
        <f t="shared" si="76"/>
        <v>2206</v>
      </c>
    </row>
    <row r="678" spans="1:13" x14ac:dyDescent="0.3">
      <c r="A678" s="2">
        <f>[1]HHS_Unaccompanied_Alien_Childre!G678</f>
        <v>45949</v>
      </c>
      <c r="B678">
        <f>[2]HHS_Unaccompanied_Alien_Childre!B678</f>
        <v>9</v>
      </c>
      <c r="C678">
        <f>[3]HHS_Unaccompanied_Alien_Childre!C678</f>
        <v>34</v>
      </c>
      <c r="D678">
        <f>[2]HHS_Unaccompanied_Alien_Childre!D678</f>
        <v>17</v>
      </c>
      <c r="E678">
        <f>[2]HHS_Unaccompanied_Alien_Childre!E678</f>
        <v>2237</v>
      </c>
      <c r="F678">
        <f>[3]HHS_Unaccompanied_Alien_Childre!F678</f>
        <v>7</v>
      </c>
      <c r="G678">
        <f t="shared" si="71"/>
        <v>4</v>
      </c>
      <c r="H678" t="str">
        <f t="shared" si="72"/>
        <v>Increase</v>
      </c>
      <c r="I678">
        <f t="shared" si="70"/>
        <v>-8</v>
      </c>
      <c r="J678">
        <f t="shared" si="73"/>
        <v>2237</v>
      </c>
      <c r="K678">
        <f t="shared" si="74"/>
        <v>2189</v>
      </c>
      <c r="L678">
        <f t="shared" si="75"/>
        <v>2146</v>
      </c>
      <c r="M678">
        <f t="shared" si="76"/>
        <v>2211</v>
      </c>
    </row>
    <row r="679" spans="1:13" x14ac:dyDescent="0.3">
      <c r="A679" s="2">
        <f>[1]HHS_Unaccompanied_Alien_Childre!G679</f>
        <v>45950</v>
      </c>
      <c r="B679">
        <f>[2]HHS_Unaccompanied_Alien_Childre!B679</f>
        <v>10</v>
      </c>
      <c r="C679">
        <f>[3]HHS_Unaccompanied_Alien_Childre!C679</f>
        <v>39</v>
      </c>
      <c r="D679">
        <f>[2]HHS_Unaccompanied_Alien_Childre!D679</f>
        <v>6</v>
      </c>
      <c r="E679">
        <f>[2]HHS_Unaccompanied_Alien_Childre!E679</f>
        <v>2243</v>
      </c>
      <c r="F679">
        <f>[3]HHS_Unaccompanied_Alien_Childre!F679</f>
        <v>7</v>
      </c>
      <c r="G679">
        <f t="shared" si="71"/>
        <v>6</v>
      </c>
      <c r="H679" t="str">
        <f t="shared" si="72"/>
        <v>Increase</v>
      </c>
      <c r="I679">
        <f t="shared" si="70"/>
        <v>4</v>
      </c>
      <c r="J679">
        <f t="shared" si="73"/>
        <v>2243</v>
      </c>
      <c r="K679">
        <f t="shared" si="74"/>
        <v>2192</v>
      </c>
      <c r="L679">
        <f t="shared" si="75"/>
        <v>2148</v>
      </c>
      <c r="M679">
        <f t="shared" si="76"/>
        <v>2214.5</v>
      </c>
    </row>
    <row r="680" spans="1:13" x14ac:dyDescent="0.3">
      <c r="A680" s="2">
        <f>[1]HHS_Unaccompanied_Alien_Childre!G680</f>
        <v>45951</v>
      </c>
      <c r="B680">
        <f>[2]HHS_Unaccompanied_Alien_Childre!B680</f>
        <v>13</v>
      </c>
      <c r="C680">
        <f>[3]HHS_Unaccompanied_Alien_Childre!C680</f>
        <v>39</v>
      </c>
      <c r="D680">
        <f>[2]HHS_Unaccompanied_Alien_Childre!D680</f>
        <v>17</v>
      </c>
      <c r="E680">
        <f>[2]HHS_Unaccompanied_Alien_Childre!E680</f>
        <v>2251</v>
      </c>
      <c r="F680">
        <f>[3]HHS_Unaccompanied_Alien_Childre!F680</f>
        <v>9</v>
      </c>
      <c r="G680">
        <f t="shared" si="71"/>
        <v>8</v>
      </c>
      <c r="H680" t="str">
        <f t="shared" si="72"/>
        <v>Increase</v>
      </c>
      <c r="I680">
        <f t="shared" si="70"/>
        <v>-4</v>
      </c>
      <c r="J680">
        <f t="shared" si="73"/>
        <v>2251</v>
      </c>
      <c r="K680">
        <f t="shared" si="74"/>
        <v>2192</v>
      </c>
      <c r="L680">
        <f t="shared" si="75"/>
        <v>2159</v>
      </c>
      <c r="M680">
        <f t="shared" si="76"/>
        <v>2217.5</v>
      </c>
    </row>
    <row r="681" spans="1:13" x14ac:dyDescent="0.3">
      <c r="A681" s="2">
        <f>[1]HHS_Unaccompanied_Alien_Childre!G681</f>
        <v>45952</v>
      </c>
      <c r="B681">
        <f>[2]HHS_Unaccompanied_Alien_Childre!B681</f>
        <v>12</v>
      </c>
      <c r="C681">
        <f>[3]HHS_Unaccompanied_Alien_Childre!C681</f>
        <v>42</v>
      </c>
      <c r="D681">
        <f>[2]HHS_Unaccompanied_Alien_Childre!D681</f>
        <v>13</v>
      </c>
      <c r="E681">
        <f>[2]HHS_Unaccompanied_Alien_Childre!E681</f>
        <v>2261</v>
      </c>
      <c r="F681">
        <f>[3]HHS_Unaccompanied_Alien_Childre!F681</f>
        <v>12</v>
      </c>
      <c r="G681">
        <f t="shared" si="71"/>
        <v>10</v>
      </c>
      <c r="H681" t="str">
        <f t="shared" si="72"/>
        <v>Increase</v>
      </c>
      <c r="I681">
        <f t="shared" si="70"/>
        <v>-1</v>
      </c>
      <c r="J681">
        <f t="shared" si="73"/>
        <v>2261</v>
      </c>
      <c r="K681">
        <f t="shared" si="74"/>
        <v>2223</v>
      </c>
      <c r="L681">
        <f t="shared" si="75"/>
        <v>2163</v>
      </c>
      <c r="M681">
        <f t="shared" si="76"/>
        <v>2237</v>
      </c>
    </row>
    <row r="682" spans="1:13" x14ac:dyDescent="0.3">
      <c r="A682" s="2">
        <f>[1]HHS_Unaccompanied_Alien_Childre!G682</f>
        <v>45953</v>
      </c>
      <c r="B682">
        <f>[2]HHS_Unaccompanied_Alien_Childre!B682</f>
        <v>4</v>
      </c>
      <c r="C682">
        <f>[3]HHS_Unaccompanied_Alien_Childre!C682</f>
        <v>27</v>
      </c>
      <c r="D682">
        <f>[2]HHS_Unaccompanied_Alien_Childre!D682</f>
        <v>26</v>
      </c>
      <c r="E682">
        <f>[2]HHS_Unaccompanied_Alien_Childre!E682</f>
        <v>2266</v>
      </c>
      <c r="F682">
        <f>[3]HHS_Unaccompanied_Alien_Childre!F682</f>
        <v>18</v>
      </c>
      <c r="G682">
        <f t="shared" si="71"/>
        <v>5</v>
      </c>
      <c r="H682" t="str">
        <f t="shared" si="72"/>
        <v>Increase</v>
      </c>
      <c r="I682">
        <f t="shared" si="70"/>
        <v>-22</v>
      </c>
      <c r="J682">
        <f t="shared" si="73"/>
        <v>2266</v>
      </c>
      <c r="K682">
        <f t="shared" si="74"/>
        <v>2235</v>
      </c>
      <c r="L682">
        <f t="shared" si="75"/>
        <v>2164</v>
      </c>
      <c r="M682">
        <f t="shared" si="76"/>
        <v>2248</v>
      </c>
    </row>
    <row r="683" spans="1:13" x14ac:dyDescent="0.3">
      <c r="A683" s="2">
        <f>[1]HHS_Unaccompanied_Alien_Childre!G683</f>
        <v>45956</v>
      </c>
      <c r="B683">
        <f>[2]HHS_Unaccompanied_Alien_Childre!B683</f>
        <v>4</v>
      </c>
      <c r="C683">
        <f>[3]HHS_Unaccompanied_Alien_Childre!C683</f>
        <v>35</v>
      </c>
      <c r="D683">
        <f>[2]HHS_Unaccompanied_Alien_Childre!D683</f>
        <v>12</v>
      </c>
      <c r="E683">
        <f>[2]HHS_Unaccompanied_Alien_Childre!E683</f>
        <v>2276</v>
      </c>
      <c r="F683">
        <f>[3]HHS_Unaccompanied_Alien_Childre!F683</f>
        <v>10</v>
      </c>
      <c r="G683">
        <f t="shared" si="71"/>
        <v>10</v>
      </c>
      <c r="H683" t="str">
        <f t="shared" si="72"/>
        <v>Increase</v>
      </c>
      <c r="I683">
        <f t="shared" si="70"/>
        <v>-8</v>
      </c>
      <c r="J683">
        <f t="shared" si="73"/>
        <v>2276</v>
      </c>
      <c r="K683">
        <f t="shared" si="74"/>
        <v>2225</v>
      </c>
      <c r="L683">
        <f t="shared" si="75"/>
        <v>2180</v>
      </c>
      <c r="M683">
        <f t="shared" si="76"/>
        <v>2245.5</v>
      </c>
    </row>
    <row r="684" spans="1:13" x14ac:dyDescent="0.3">
      <c r="A684" s="2">
        <f>[1]HHS_Unaccompanied_Alien_Childre!G684</f>
        <v>45957</v>
      </c>
      <c r="B684">
        <f>[2]HHS_Unaccompanied_Alien_Childre!B684</f>
        <v>2</v>
      </c>
      <c r="C684">
        <f>[3]HHS_Unaccompanied_Alien_Childre!C684</f>
        <v>31</v>
      </c>
      <c r="D684">
        <f>[2]HHS_Unaccompanied_Alien_Childre!D684</f>
        <v>8</v>
      </c>
      <c r="E684">
        <f>[2]HHS_Unaccompanied_Alien_Childre!E684</f>
        <v>2282</v>
      </c>
      <c r="F684">
        <f>[3]HHS_Unaccompanied_Alien_Childre!F684</f>
        <v>11</v>
      </c>
      <c r="G684">
        <f t="shared" si="71"/>
        <v>6</v>
      </c>
      <c r="H684" t="str">
        <f t="shared" si="72"/>
        <v>Increase</v>
      </c>
      <c r="I684">
        <f t="shared" si="70"/>
        <v>-6</v>
      </c>
      <c r="J684">
        <f t="shared" si="73"/>
        <v>2282</v>
      </c>
      <c r="K684">
        <f t="shared" si="74"/>
        <v>2233</v>
      </c>
      <c r="L684">
        <f t="shared" si="75"/>
        <v>2187</v>
      </c>
      <c r="M684">
        <f t="shared" si="76"/>
        <v>2254.5</v>
      </c>
    </row>
    <row r="685" spans="1:13" x14ac:dyDescent="0.3">
      <c r="A685" s="2">
        <f>[1]HHS_Unaccompanied_Alien_Childre!G685</f>
        <v>45958</v>
      </c>
      <c r="B685">
        <f>[2]HHS_Unaccompanied_Alien_Childre!B685</f>
        <v>6</v>
      </c>
      <c r="C685">
        <f>[3]HHS_Unaccompanied_Alien_Childre!C685</f>
        <v>22</v>
      </c>
      <c r="D685">
        <f>[2]HHS_Unaccompanied_Alien_Childre!D685</f>
        <v>11</v>
      </c>
      <c r="E685">
        <f>[2]HHS_Unaccompanied_Alien_Childre!E685</f>
        <v>2286</v>
      </c>
      <c r="F685">
        <f>[3]HHS_Unaccompanied_Alien_Childre!F685</f>
        <v>6</v>
      </c>
      <c r="G685">
        <f t="shared" si="71"/>
        <v>4</v>
      </c>
      <c r="H685" t="str">
        <f t="shared" si="72"/>
        <v>Increase</v>
      </c>
      <c r="I685">
        <f t="shared" si="70"/>
        <v>-5</v>
      </c>
      <c r="J685">
        <f t="shared" si="73"/>
        <v>2286</v>
      </c>
      <c r="K685">
        <f t="shared" si="74"/>
        <v>2237</v>
      </c>
      <c r="L685">
        <f t="shared" si="75"/>
        <v>2189</v>
      </c>
      <c r="M685">
        <f t="shared" si="76"/>
        <v>2259.5</v>
      </c>
    </row>
    <row r="686" spans="1:13" x14ac:dyDescent="0.3">
      <c r="A686" s="2">
        <f>[1]HHS_Unaccompanied_Alien_Childre!G686</f>
        <v>45959</v>
      </c>
      <c r="B686">
        <f>[2]HHS_Unaccompanied_Alien_Childre!B686</f>
        <v>6</v>
      </c>
      <c r="C686">
        <f>[3]HHS_Unaccompanied_Alien_Childre!C686</f>
        <v>25</v>
      </c>
      <c r="D686">
        <f>[2]HHS_Unaccompanied_Alien_Childre!D686</f>
        <v>4</v>
      </c>
      <c r="E686">
        <f>[2]HHS_Unaccompanied_Alien_Childre!E686</f>
        <v>2280</v>
      </c>
      <c r="F686">
        <f>[3]HHS_Unaccompanied_Alien_Childre!F686</f>
        <v>17</v>
      </c>
      <c r="G686">
        <f t="shared" si="71"/>
        <v>-6</v>
      </c>
      <c r="H686" t="str">
        <f t="shared" si="72"/>
        <v>Decrease</v>
      </c>
      <c r="I686">
        <f t="shared" si="70"/>
        <v>2</v>
      </c>
      <c r="J686">
        <f t="shared" si="73"/>
        <v>2280</v>
      </c>
      <c r="K686">
        <f t="shared" si="74"/>
        <v>2243</v>
      </c>
      <c r="L686">
        <f t="shared" si="75"/>
        <v>2192</v>
      </c>
      <c r="M686">
        <f t="shared" si="76"/>
        <v>2264.5</v>
      </c>
    </row>
    <row r="687" spans="1:13" x14ac:dyDescent="0.3">
      <c r="A687" s="2">
        <f>[1]HHS_Unaccompanied_Alien_Childre!G687</f>
        <v>45960</v>
      </c>
      <c r="B687">
        <f>[2]HHS_Unaccompanied_Alien_Childre!B687</f>
        <v>3</v>
      </c>
      <c r="C687">
        <f>[3]HHS_Unaccompanied_Alien_Childre!C687</f>
        <v>17</v>
      </c>
      <c r="D687">
        <f>[2]HHS_Unaccompanied_Alien_Childre!D687</f>
        <v>14</v>
      </c>
      <c r="E687">
        <f>[2]HHS_Unaccompanied_Alien_Childre!E687</f>
        <v>2287</v>
      </c>
      <c r="F687">
        <f>[3]HHS_Unaccompanied_Alien_Childre!F687</f>
        <v>12</v>
      </c>
      <c r="G687">
        <f t="shared" si="71"/>
        <v>7</v>
      </c>
      <c r="H687" t="str">
        <f t="shared" si="72"/>
        <v>Increase</v>
      </c>
      <c r="I687">
        <f t="shared" si="70"/>
        <v>-11</v>
      </c>
      <c r="J687">
        <f t="shared" si="73"/>
        <v>2287</v>
      </c>
      <c r="K687">
        <f t="shared" si="74"/>
        <v>2251</v>
      </c>
      <c r="L687">
        <f t="shared" si="75"/>
        <v>2192</v>
      </c>
      <c r="M687">
        <f t="shared" si="76"/>
        <v>2265.5</v>
      </c>
    </row>
    <row r="688" spans="1:13" x14ac:dyDescent="0.3">
      <c r="A688" s="2">
        <f>[1]HHS_Unaccompanied_Alien_Childre!G688</f>
        <v>45963</v>
      </c>
      <c r="B688">
        <f>[2]HHS_Unaccompanied_Alien_Childre!B688</f>
        <v>5</v>
      </c>
      <c r="C688">
        <f>[3]HHS_Unaccompanied_Alien_Childre!C688</f>
        <v>21</v>
      </c>
      <c r="D688">
        <f>[2]HHS_Unaccompanied_Alien_Childre!D688</f>
        <v>10</v>
      </c>
      <c r="E688">
        <f>[2]HHS_Unaccompanied_Alien_Childre!E688</f>
        <v>2277</v>
      </c>
      <c r="F688">
        <f>[3]HHS_Unaccompanied_Alien_Childre!F688</f>
        <v>7</v>
      </c>
      <c r="G688">
        <f t="shared" si="71"/>
        <v>-10</v>
      </c>
      <c r="H688" t="str">
        <f t="shared" si="72"/>
        <v>Decrease</v>
      </c>
      <c r="I688">
        <f t="shared" si="70"/>
        <v>-5</v>
      </c>
      <c r="J688">
        <f t="shared" si="73"/>
        <v>2277</v>
      </c>
      <c r="K688">
        <f t="shared" si="74"/>
        <v>2261</v>
      </c>
      <c r="L688">
        <f t="shared" si="75"/>
        <v>2223</v>
      </c>
      <c r="M688">
        <f t="shared" si="76"/>
        <v>2274</v>
      </c>
    </row>
    <row r="689" spans="1:13" x14ac:dyDescent="0.3">
      <c r="A689" s="2">
        <f>[1]HHS_Unaccompanied_Alien_Childre!G689</f>
        <v>45964</v>
      </c>
      <c r="B689">
        <f>[2]HHS_Unaccompanied_Alien_Childre!B689</f>
        <v>3</v>
      </c>
      <c r="C689">
        <f>[3]HHS_Unaccompanied_Alien_Childre!C689</f>
        <v>28</v>
      </c>
      <c r="D689">
        <f>[2]HHS_Unaccompanied_Alien_Childre!D689</f>
        <v>5</v>
      </c>
      <c r="E689">
        <f>[2]HHS_Unaccompanied_Alien_Childre!E689</f>
        <v>2269</v>
      </c>
      <c r="F689">
        <f>[3]HHS_Unaccompanied_Alien_Childre!F689</f>
        <v>12</v>
      </c>
      <c r="G689">
        <f t="shared" si="71"/>
        <v>-8</v>
      </c>
      <c r="H689" t="str">
        <f t="shared" si="72"/>
        <v>Decrease</v>
      </c>
      <c r="I689">
        <f t="shared" si="70"/>
        <v>-2</v>
      </c>
      <c r="J689">
        <f t="shared" si="73"/>
        <v>2269</v>
      </c>
      <c r="K689">
        <f t="shared" si="74"/>
        <v>2266</v>
      </c>
      <c r="L689">
        <f t="shared" si="75"/>
        <v>2235</v>
      </c>
      <c r="M689">
        <f t="shared" si="76"/>
        <v>2271.5</v>
      </c>
    </row>
    <row r="690" spans="1:13" x14ac:dyDescent="0.3">
      <c r="A690" s="2">
        <f>[1]HHS_Unaccompanied_Alien_Childre!G690</f>
        <v>45965</v>
      </c>
      <c r="B690">
        <f>[2]HHS_Unaccompanied_Alien_Childre!B690</f>
        <v>6</v>
      </c>
      <c r="C690">
        <f>[3]HHS_Unaccompanied_Alien_Childre!C690</f>
        <v>33</v>
      </c>
      <c r="D690">
        <f>[2]HHS_Unaccompanied_Alien_Childre!D690</f>
        <v>6</v>
      </c>
      <c r="E690">
        <f>[2]HHS_Unaccompanied_Alien_Childre!E690</f>
        <v>2270</v>
      </c>
      <c r="F690">
        <f>[3]HHS_Unaccompanied_Alien_Childre!F690</f>
        <v>8</v>
      </c>
      <c r="G690">
        <f t="shared" si="71"/>
        <v>1</v>
      </c>
      <c r="H690" t="str">
        <f t="shared" si="72"/>
        <v>Increase</v>
      </c>
      <c r="I690">
        <f t="shared" si="70"/>
        <v>0</v>
      </c>
      <c r="J690">
        <f t="shared" si="73"/>
        <v>2270</v>
      </c>
      <c r="K690">
        <f t="shared" si="74"/>
        <v>2276</v>
      </c>
      <c r="L690">
        <f t="shared" si="75"/>
        <v>2225</v>
      </c>
      <c r="M690">
        <f t="shared" si="76"/>
        <v>2272.5</v>
      </c>
    </row>
    <row r="691" spans="1:13" x14ac:dyDescent="0.3">
      <c r="A691" s="2">
        <f>[1]HHS_Unaccompanied_Alien_Childre!G691</f>
        <v>45966</v>
      </c>
      <c r="B691">
        <f>[2]HHS_Unaccompanied_Alien_Childre!B691</f>
        <v>8</v>
      </c>
      <c r="C691">
        <f>[3]HHS_Unaccompanied_Alien_Childre!C691</f>
        <v>41</v>
      </c>
      <c r="D691">
        <f>[2]HHS_Unaccompanied_Alien_Childre!D691</f>
        <v>8</v>
      </c>
      <c r="E691">
        <f>[2]HHS_Unaccompanied_Alien_Childre!E691</f>
        <v>2272</v>
      </c>
      <c r="F691">
        <f>[3]HHS_Unaccompanied_Alien_Childre!F691</f>
        <v>7</v>
      </c>
      <c r="G691">
        <f t="shared" si="71"/>
        <v>2</v>
      </c>
      <c r="H691" t="str">
        <f t="shared" si="72"/>
        <v>Increase</v>
      </c>
      <c r="I691">
        <f t="shared" si="70"/>
        <v>0</v>
      </c>
      <c r="J691">
        <f t="shared" si="73"/>
        <v>2272</v>
      </c>
      <c r="K691">
        <f t="shared" si="74"/>
        <v>2282</v>
      </c>
      <c r="L691">
        <f t="shared" si="75"/>
        <v>2233</v>
      </c>
      <c r="M691">
        <f t="shared" si="76"/>
        <v>2276</v>
      </c>
    </row>
    <row r="692" spans="1:13" x14ac:dyDescent="0.3">
      <c r="A692" s="2">
        <f>[1]HHS_Unaccompanied_Alien_Childre!G692</f>
        <v>45967</v>
      </c>
      <c r="B692">
        <f>[2]HHS_Unaccompanied_Alien_Childre!B692</f>
        <v>6</v>
      </c>
      <c r="C692">
        <f>[3]HHS_Unaccompanied_Alien_Childre!C692</f>
        <v>33</v>
      </c>
      <c r="D692">
        <f>[2]HHS_Unaccompanied_Alien_Childre!D692</f>
        <v>9</v>
      </c>
      <c r="E692">
        <f>[2]HHS_Unaccompanied_Alien_Childre!E692</f>
        <v>2264</v>
      </c>
      <c r="F692">
        <f>[3]HHS_Unaccompanied_Alien_Childre!F692</f>
        <v>19</v>
      </c>
      <c r="G692">
        <f t="shared" si="71"/>
        <v>-8</v>
      </c>
      <c r="H692" t="str">
        <f t="shared" si="72"/>
        <v>Decrease</v>
      </c>
      <c r="I692">
        <f t="shared" si="70"/>
        <v>-3</v>
      </c>
      <c r="J692">
        <f t="shared" si="73"/>
        <v>2264</v>
      </c>
      <c r="K692">
        <f t="shared" si="74"/>
        <v>2286</v>
      </c>
      <c r="L692">
        <f t="shared" si="75"/>
        <v>2237</v>
      </c>
      <c r="M692">
        <f t="shared" si="76"/>
        <v>2279</v>
      </c>
    </row>
    <row r="693" spans="1:13" x14ac:dyDescent="0.3">
      <c r="A693" s="2">
        <f>[1]HHS_Unaccompanied_Alien_Childre!G693</f>
        <v>45970</v>
      </c>
      <c r="B693">
        <f>[2]HHS_Unaccompanied_Alien_Childre!B693</f>
        <v>11</v>
      </c>
      <c r="C693">
        <f>[3]HHS_Unaccompanied_Alien_Childre!C693</f>
        <v>33</v>
      </c>
      <c r="D693">
        <f>[2]HHS_Unaccompanied_Alien_Childre!D693</f>
        <v>5</v>
      </c>
      <c r="E693">
        <f>[2]HHS_Unaccompanied_Alien_Childre!E693</f>
        <v>2294</v>
      </c>
      <c r="F693">
        <f>[3]HHS_Unaccompanied_Alien_Childre!F693</f>
        <v>4</v>
      </c>
      <c r="G693">
        <f t="shared" si="71"/>
        <v>30</v>
      </c>
      <c r="H693" t="str">
        <f t="shared" si="72"/>
        <v>Increase</v>
      </c>
      <c r="I693">
        <f t="shared" si="70"/>
        <v>6</v>
      </c>
      <c r="J693">
        <f t="shared" si="73"/>
        <v>2294</v>
      </c>
      <c r="K693">
        <f t="shared" si="74"/>
        <v>2280</v>
      </c>
      <c r="L693">
        <f t="shared" si="75"/>
        <v>2243</v>
      </c>
      <c r="M693">
        <f t="shared" si="76"/>
        <v>2272</v>
      </c>
    </row>
    <row r="694" spans="1:13" x14ac:dyDescent="0.3">
      <c r="A694" s="2">
        <f>[1]HHS_Unaccompanied_Alien_Childre!G694</f>
        <v>45972</v>
      </c>
      <c r="B694">
        <f>[2]HHS_Unaccompanied_Alien_Childre!B694</f>
        <v>11</v>
      </c>
      <c r="C694">
        <f>[3]HHS_Unaccompanied_Alien_Childre!C694</f>
        <v>39</v>
      </c>
      <c r="D694">
        <f>[2]HHS_Unaccompanied_Alien_Childre!D694</f>
        <v>12</v>
      </c>
      <c r="E694">
        <f>[2]HHS_Unaccompanied_Alien_Childre!E694</f>
        <v>2294</v>
      </c>
      <c r="F694">
        <f>[3]HHS_Unaccompanied_Alien_Childre!F694</f>
        <v>14</v>
      </c>
      <c r="G694">
        <f t="shared" si="71"/>
        <v>0</v>
      </c>
      <c r="H694" t="str">
        <f t="shared" si="72"/>
        <v>No Change</v>
      </c>
      <c r="I694">
        <f t="shared" si="70"/>
        <v>-1</v>
      </c>
      <c r="J694">
        <f t="shared" si="73"/>
        <v>2294</v>
      </c>
      <c r="K694">
        <f t="shared" si="74"/>
        <v>2287</v>
      </c>
      <c r="L694">
        <f t="shared" si="75"/>
        <v>2251</v>
      </c>
      <c r="M694">
        <f t="shared" si="76"/>
        <v>2290.5</v>
      </c>
    </row>
    <row r="695" spans="1:13" x14ac:dyDescent="0.3">
      <c r="A695" s="2">
        <f>[1]HHS_Unaccompanied_Alien_Childre!G695</f>
        <v>45973</v>
      </c>
      <c r="B695">
        <f>[2]HHS_Unaccompanied_Alien_Childre!B695</f>
        <v>14</v>
      </c>
      <c r="C695">
        <f>[3]HHS_Unaccompanied_Alien_Childre!C695</f>
        <v>48</v>
      </c>
      <c r="D695">
        <f>[2]HHS_Unaccompanied_Alien_Childre!D695</f>
        <v>20</v>
      </c>
      <c r="E695">
        <f>[2]HHS_Unaccompanied_Alien_Childre!E695</f>
        <v>2302</v>
      </c>
      <c r="F695">
        <f>[3]HHS_Unaccompanied_Alien_Childre!F695</f>
        <v>7</v>
      </c>
      <c r="G695">
        <f t="shared" si="71"/>
        <v>8</v>
      </c>
      <c r="H695" t="str">
        <f t="shared" si="72"/>
        <v>Increase</v>
      </c>
      <c r="I695">
        <f t="shared" si="70"/>
        <v>-6</v>
      </c>
      <c r="J695">
        <f t="shared" si="73"/>
        <v>2302</v>
      </c>
      <c r="K695">
        <f t="shared" si="74"/>
        <v>2277</v>
      </c>
      <c r="L695">
        <f t="shared" si="75"/>
        <v>2261</v>
      </c>
      <c r="M695">
        <f t="shared" si="76"/>
        <v>2285.5</v>
      </c>
    </row>
    <row r="696" spans="1:13" x14ac:dyDescent="0.3">
      <c r="A696" s="2">
        <f>[1]HHS_Unaccompanied_Alien_Childre!G696</f>
        <v>45974</v>
      </c>
      <c r="B696">
        <f>[2]HHS_Unaccompanied_Alien_Childre!B696</f>
        <v>6</v>
      </c>
      <c r="C696">
        <f>[3]HHS_Unaccompanied_Alien_Childre!C696</f>
        <v>26</v>
      </c>
      <c r="D696">
        <f>[2]HHS_Unaccompanied_Alien_Childre!D696</f>
        <v>16</v>
      </c>
      <c r="E696">
        <f>[2]HHS_Unaccompanied_Alien_Childre!E696</f>
        <v>2317</v>
      </c>
      <c r="F696">
        <f>[3]HHS_Unaccompanied_Alien_Childre!F696</f>
        <v>5</v>
      </c>
      <c r="G696">
        <f t="shared" si="71"/>
        <v>15</v>
      </c>
      <c r="H696" t="str">
        <f t="shared" si="72"/>
        <v>Increase</v>
      </c>
      <c r="I696">
        <f t="shared" si="70"/>
        <v>-10</v>
      </c>
      <c r="J696">
        <f t="shared" si="73"/>
        <v>2317</v>
      </c>
      <c r="K696">
        <f t="shared" si="74"/>
        <v>2269</v>
      </c>
      <c r="L696">
        <f t="shared" si="75"/>
        <v>2266</v>
      </c>
      <c r="M696">
        <f t="shared" si="76"/>
        <v>2285.5</v>
      </c>
    </row>
    <row r="697" spans="1:13" x14ac:dyDescent="0.3">
      <c r="A697" s="2">
        <f>[1]HHS_Unaccompanied_Alien_Childre!G697</f>
        <v>45977</v>
      </c>
      <c r="B697">
        <f>[2]HHS_Unaccompanied_Alien_Childre!B697</f>
        <v>5</v>
      </c>
      <c r="C697">
        <f>[3]HHS_Unaccompanied_Alien_Childre!C697</f>
        <v>22</v>
      </c>
      <c r="D697">
        <f>[2]HHS_Unaccompanied_Alien_Childre!D697</f>
        <v>3</v>
      </c>
      <c r="E697">
        <f>[2]HHS_Unaccompanied_Alien_Childre!E697</f>
        <v>2340</v>
      </c>
      <c r="F697">
        <f>[3]HHS_Unaccompanied_Alien_Childre!F697</f>
        <v>5</v>
      </c>
      <c r="G697">
        <f t="shared" si="71"/>
        <v>23</v>
      </c>
      <c r="H697" t="str">
        <f t="shared" si="72"/>
        <v>Increase</v>
      </c>
      <c r="I697">
        <f t="shared" si="70"/>
        <v>2</v>
      </c>
      <c r="J697">
        <f t="shared" si="73"/>
        <v>2340</v>
      </c>
      <c r="K697">
        <f t="shared" si="74"/>
        <v>2270</v>
      </c>
      <c r="L697">
        <f t="shared" si="75"/>
        <v>2276</v>
      </c>
      <c r="M697">
        <f t="shared" si="76"/>
        <v>2293.5</v>
      </c>
    </row>
    <row r="698" spans="1:13" x14ac:dyDescent="0.3">
      <c r="A698" s="2">
        <f>[1]HHS_Unaccompanied_Alien_Childre!G698</f>
        <v>45978</v>
      </c>
      <c r="B698">
        <f>[2]HHS_Unaccompanied_Alien_Childre!B698</f>
        <v>1</v>
      </c>
      <c r="C698">
        <f>[3]HHS_Unaccompanied_Alien_Childre!C698</f>
        <v>35</v>
      </c>
      <c r="D698">
        <f>[2]HHS_Unaccompanied_Alien_Childre!D698</f>
        <v>6</v>
      </c>
      <c r="E698">
        <f>[2]HHS_Unaccompanied_Alien_Childre!E698</f>
        <v>2343</v>
      </c>
      <c r="F698">
        <f>[3]HHS_Unaccompanied_Alien_Childre!F698</f>
        <v>8</v>
      </c>
      <c r="G698">
        <f t="shared" si="71"/>
        <v>3</v>
      </c>
      <c r="H698" t="str">
        <f t="shared" si="72"/>
        <v>Increase</v>
      </c>
      <c r="I698">
        <f t="shared" si="70"/>
        <v>-5</v>
      </c>
      <c r="J698">
        <f t="shared" si="73"/>
        <v>2343</v>
      </c>
      <c r="K698">
        <f t="shared" si="74"/>
        <v>2272</v>
      </c>
      <c r="L698">
        <f t="shared" si="75"/>
        <v>2282</v>
      </c>
      <c r="M698">
        <f t="shared" si="76"/>
        <v>2306</v>
      </c>
    </row>
    <row r="699" spans="1:13" x14ac:dyDescent="0.3">
      <c r="A699" s="2">
        <f>[1]HHS_Unaccompanied_Alien_Childre!G699</f>
        <v>45979</v>
      </c>
      <c r="B699">
        <f>[2]HHS_Unaccompanied_Alien_Childre!B699</f>
        <v>2</v>
      </c>
      <c r="C699">
        <f>[3]HHS_Unaccompanied_Alien_Childre!C699</f>
        <v>38</v>
      </c>
      <c r="D699">
        <f>[2]HHS_Unaccompanied_Alien_Childre!D699</f>
        <v>8</v>
      </c>
      <c r="E699">
        <f>[2]HHS_Unaccompanied_Alien_Childre!E699</f>
        <v>2345</v>
      </c>
      <c r="F699">
        <f>[3]HHS_Unaccompanied_Alien_Childre!F699</f>
        <v>12</v>
      </c>
      <c r="G699">
        <f t="shared" si="71"/>
        <v>2</v>
      </c>
      <c r="H699" t="str">
        <f t="shared" si="72"/>
        <v>Increase</v>
      </c>
      <c r="I699">
        <f t="shared" si="70"/>
        <v>-6</v>
      </c>
      <c r="J699">
        <f t="shared" si="73"/>
        <v>2345</v>
      </c>
      <c r="K699">
        <f t="shared" si="74"/>
        <v>2264</v>
      </c>
      <c r="L699">
        <f t="shared" si="75"/>
        <v>2286</v>
      </c>
      <c r="M699">
        <f t="shared" si="76"/>
        <v>2303.5</v>
      </c>
    </row>
    <row r="700" spans="1:13" x14ac:dyDescent="0.3">
      <c r="A700" s="2">
        <f>[1]HHS_Unaccompanied_Alien_Childre!G700</f>
        <v>45980</v>
      </c>
      <c r="B700">
        <f>[2]HHS_Unaccompanied_Alien_Childre!B700</f>
        <v>7</v>
      </c>
      <c r="C700">
        <f>[3]HHS_Unaccompanied_Alien_Childre!C700</f>
        <v>32</v>
      </c>
      <c r="D700">
        <f>[2]HHS_Unaccompanied_Alien_Childre!D700</f>
        <v>3</v>
      </c>
      <c r="E700">
        <f>[2]HHS_Unaccompanied_Alien_Childre!E700</f>
        <v>2340</v>
      </c>
      <c r="F700">
        <f>[3]HHS_Unaccompanied_Alien_Childre!F700</f>
        <v>10</v>
      </c>
      <c r="G700">
        <f t="shared" si="71"/>
        <v>-5</v>
      </c>
      <c r="H700" t="str">
        <f t="shared" si="72"/>
        <v>Decrease</v>
      </c>
      <c r="I700">
        <f t="shared" si="70"/>
        <v>4</v>
      </c>
      <c r="J700">
        <f t="shared" si="73"/>
        <v>2340</v>
      </c>
      <c r="K700">
        <f t="shared" si="74"/>
        <v>2294</v>
      </c>
      <c r="L700">
        <f t="shared" si="75"/>
        <v>2280</v>
      </c>
      <c r="M700">
        <f t="shared" si="76"/>
        <v>2319.5</v>
      </c>
    </row>
    <row r="701" spans="1:13" x14ac:dyDescent="0.3">
      <c r="A701" s="2">
        <f>[1]HHS_Unaccompanied_Alien_Childre!G701</f>
        <v>45981</v>
      </c>
      <c r="B701">
        <f>[2]HHS_Unaccompanied_Alien_Childre!B701</f>
        <v>18</v>
      </c>
      <c r="C701">
        <f>[3]HHS_Unaccompanied_Alien_Childre!C701</f>
        <v>57</v>
      </c>
      <c r="D701">
        <f>[2]HHS_Unaccompanied_Alien_Childre!D701</f>
        <v>8</v>
      </c>
      <c r="E701">
        <f>[2]HHS_Unaccompanied_Alien_Childre!E701</f>
        <v>2340</v>
      </c>
      <c r="F701">
        <f>[3]HHS_Unaccompanied_Alien_Childre!F701</f>
        <v>9</v>
      </c>
      <c r="G701">
        <f t="shared" si="71"/>
        <v>0</v>
      </c>
      <c r="H701" t="str">
        <f t="shared" si="72"/>
        <v>No Change</v>
      </c>
      <c r="I701">
        <f t="shared" si="70"/>
        <v>10</v>
      </c>
      <c r="J701">
        <f t="shared" si="73"/>
        <v>2340</v>
      </c>
      <c r="K701">
        <f t="shared" si="74"/>
        <v>2294</v>
      </c>
      <c r="L701">
        <f t="shared" si="75"/>
        <v>2287</v>
      </c>
      <c r="M701">
        <f t="shared" si="76"/>
        <v>2317</v>
      </c>
    </row>
    <row r="702" spans="1:13" x14ac:dyDescent="0.3">
      <c r="A702" s="2">
        <f>[1]HHS_Unaccompanied_Alien_Childre!G702</f>
        <v>45984</v>
      </c>
      <c r="B702">
        <f>[2]HHS_Unaccompanied_Alien_Childre!B702</f>
        <v>3</v>
      </c>
      <c r="C702">
        <f>[3]HHS_Unaccompanied_Alien_Childre!C702</f>
        <v>46</v>
      </c>
      <c r="D702">
        <f>[2]HHS_Unaccompanied_Alien_Childre!D702</f>
        <v>22</v>
      </c>
      <c r="E702">
        <f>[2]HHS_Unaccompanied_Alien_Childre!E702</f>
        <v>2375</v>
      </c>
      <c r="F702">
        <f>[3]HHS_Unaccompanied_Alien_Childre!F702</f>
        <v>1</v>
      </c>
      <c r="G702">
        <f t="shared" si="71"/>
        <v>35</v>
      </c>
      <c r="H702" t="str">
        <f t="shared" si="72"/>
        <v>Increase</v>
      </c>
      <c r="I702">
        <f t="shared" si="70"/>
        <v>-19</v>
      </c>
      <c r="J702">
        <f t="shared" si="73"/>
        <v>2375</v>
      </c>
      <c r="K702">
        <f t="shared" si="74"/>
        <v>2302</v>
      </c>
      <c r="L702">
        <f t="shared" si="75"/>
        <v>2277</v>
      </c>
      <c r="M702">
        <f t="shared" si="76"/>
        <v>2321</v>
      </c>
    </row>
    <row r="703" spans="1:13" x14ac:dyDescent="0.3">
      <c r="A703" s="2">
        <f>[1]HHS_Unaccompanied_Alien_Childre!G703</f>
        <v>45985</v>
      </c>
      <c r="B703">
        <f>[2]HHS_Unaccompanied_Alien_Childre!B703</f>
        <v>9</v>
      </c>
      <c r="C703">
        <f>[3]HHS_Unaccompanied_Alien_Childre!C703</f>
        <v>40</v>
      </c>
      <c r="D703">
        <f>[2]HHS_Unaccompanied_Alien_Childre!D703</f>
        <v>9</v>
      </c>
      <c r="E703">
        <f>[2]HHS_Unaccompanied_Alien_Childre!E703</f>
        <v>2371</v>
      </c>
      <c r="F703">
        <f>[3]HHS_Unaccompanied_Alien_Childre!F703</f>
        <v>13</v>
      </c>
      <c r="G703">
        <f t="shared" si="71"/>
        <v>-4</v>
      </c>
      <c r="H703" t="str">
        <f t="shared" si="72"/>
        <v>Decrease</v>
      </c>
      <c r="I703">
        <f t="shared" si="70"/>
        <v>0</v>
      </c>
      <c r="J703">
        <f t="shared" si="73"/>
        <v>2371</v>
      </c>
      <c r="K703">
        <f t="shared" si="74"/>
        <v>2317</v>
      </c>
      <c r="L703">
        <f t="shared" si="75"/>
        <v>2269</v>
      </c>
      <c r="M703">
        <f t="shared" si="76"/>
        <v>2346</v>
      </c>
    </row>
    <row r="704" spans="1:13" x14ac:dyDescent="0.3">
      <c r="A704" s="2">
        <f>[1]HHS_Unaccompanied_Alien_Childre!G704</f>
        <v>45986</v>
      </c>
      <c r="B704">
        <f>[2]HHS_Unaccompanied_Alien_Childre!B704</f>
        <v>6</v>
      </c>
      <c r="C704">
        <f>[3]HHS_Unaccompanied_Alien_Childre!C704</f>
        <v>47</v>
      </c>
      <c r="D704">
        <f>[2]HHS_Unaccompanied_Alien_Childre!D704</f>
        <v>14</v>
      </c>
      <c r="E704">
        <f>[2]HHS_Unaccompanied_Alien_Childre!E704</f>
        <v>2375</v>
      </c>
      <c r="F704">
        <f>[3]HHS_Unaccompanied_Alien_Childre!F704</f>
        <v>11</v>
      </c>
      <c r="G704">
        <f t="shared" si="71"/>
        <v>4</v>
      </c>
      <c r="H704" t="str">
        <f t="shared" si="72"/>
        <v>Increase</v>
      </c>
      <c r="I704">
        <f t="shared" si="70"/>
        <v>-8</v>
      </c>
      <c r="J704">
        <f t="shared" si="73"/>
        <v>2375</v>
      </c>
      <c r="K704">
        <f t="shared" si="74"/>
        <v>2340</v>
      </c>
      <c r="L704">
        <f t="shared" si="75"/>
        <v>2270</v>
      </c>
      <c r="M704">
        <f t="shared" si="76"/>
        <v>2355.5</v>
      </c>
    </row>
    <row r="705" spans="1:13" x14ac:dyDescent="0.3">
      <c r="A705" s="2">
        <f>[1]HHS_Unaccompanied_Alien_Childre!G705</f>
        <v>45988</v>
      </c>
      <c r="B705">
        <f>[2]HHS_Unaccompanied_Alien_Childre!B705</f>
        <v>4</v>
      </c>
      <c r="C705">
        <f>[3]HHS_Unaccompanied_Alien_Childre!C705</f>
        <v>24</v>
      </c>
      <c r="D705">
        <f>[2]HHS_Unaccompanied_Alien_Childre!D705</f>
        <v>8</v>
      </c>
      <c r="E705">
        <f>[2]HHS_Unaccompanied_Alien_Childre!E705</f>
        <v>2389</v>
      </c>
      <c r="F705">
        <f>[3]HHS_Unaccompanied_Alien_Childre!F705</f>
        <v>7</v>
      </c>
      <c r="G705">
        <f t="shared" si="71"/>
        <v>14</v>
      </c>
      <c r="H705" t="str">
        <f t="shared" si="72"/>
        <v>Increase</v>
      </c>
      <c r="I705">
        <f t="shared" si="70"/>
        <v>-4</v>
      </c>
      <c r="J705">
        <f t="shared" si="73"/>
        <v>2389</v>
      </c>
      <c r="K705">
        <f t="shared" si="74"/>
        <v>2343</v>
      </c>
      <c r="L705">
        <f t="shared" si="75"/>
        <v>2272</v>
      </c>
      <c r="M705">
        <f t="shared" si="76"/>
        <v>2359</v>
      </c>
    </row>
    <row r="706" spans="1:13" x14ac:dyDescent="0.3">
      <c r="A706" s="2">
        <f>[1]HHS_Unaccompanied_Alien_Childre!G706</f>
        <v>45991</v>
      </c>
      <c r="B706">
        <f>[2]HHS_Unaccompanied_Alien_Childre!B706</f>
        <v>4</v>
      </c>
      <c r="C706">
        <f>[3]HHS_Unaccompanied_Alien_Childre!C706</f>
        <v>18</v>
      </c>
      <c r="D706">
        <f>[2]HHS_Unaccompanied_Alien_Childre!D706</f>
        <v>10</v>
      </c>
      <c r="E706">
        <f>[2]HHS_Unaccompanied_Alien_Childre!E706</f>
        <v>2415</v>
      </c>
      <c r="F706">
        <f>[3]HHS_Unaccompanied_Alien_Childre!F706</f>
        <v>0</v>
      </c>
      <c r="G706">
        <f t="shared" si="71"/>
        <v>26</v>
      </c>
      <c r="H706" t="str">
        <f t="shared" si="72"/>
        <v>Increase</v>
      </c>
      <c r="I706">
        <f t="shared" si="70"/>
        <v>-6</v>
      </c>
      <c r="J706">
        <f t="shared" si="73"/>
        <v>2415</v>
      </c>
      <c r="K706">
        <f t="shared" si="74"/>
        <v>2345</v>
      </c>
      <c r="L706">
        <f t="shared" si="75"/>
        <v>2264</v>
      </c>
      <c r="M706">
        <f t="shared" si="76"/>
        <v>2367</v>
      </c>
    </row>
    <row r="707" spans="1:13" x14ac:dyDescent="0.3">
      <c r="A707" s="2">
        <f>[1]HHS_Unaccompanied_Alien_Childre!G707</f>
        <v>45992</v>
      </c>
      <c r="B707">
        <f>[2]HHS_Unaccompanied_Alien_Childre!B707</f>
        <v>4</v>
      </c>
      <c r="C707">
        <f>[3]HHS_Unaccompanied_Alien_Childre!C707</f>
        <v>26</v>
      </c>
      <c r="D707">
        <f>[2]HHS_Unaccompanied_Alien_Childre!D707</f>
        <v>4</v>
      </c>
      <c r="E707">
        <f>[2]HHS_Unaccompanied_Alien_Childre!E707</f>
        <v>2410</v>
      </c>
      <c r="F707">
        <f>[3]HHS_Unaccompanied_Alien_Childre!F707</f>
        <v>9</v>
      </c>
      <c r="G707">
        <f t="shared" si="71"/>
        <v>-5</v>
      </c>
      <c r="H707" t="str">
        <f t="shared" si="72"/>
        <v>Decrease</v>
      </c>
      <c r="I707">
        <f t="shared" ref="I707:I721" si="77">B707-D707</f>
        <v>0</v>
      </c>
      <c r="J707">
        <f t="shared" si="73"/>
        <v>2410</v>
      </c>
      <c r="K707">
        <f t="shared" si="74"/>
        <v>2340</v>
      </c>
      <c r="L707">
        <f t="shared" si="75"/>
        <v>2294</v>
      </c>
      <c r="M707">
        <f t="shared" si="76"/>
        <v>2377.5</v>
      </c>
    </row>
    <row r="708" spans="1:13" x14ac:dyDescent="0.3">
      <c r="A708" s="2">
        <f>[1]HHS_Unaccompanied_Alien_Childre!G708</f>
        <v>45993</v>
      </c>
      <c r="B708">
        <f>[2]HHS_Unaccompanied_Alien_Childre!B708</f>
        <v>7</v>
      </c>
      <c r="C708">
        <f>[3]HHS_Unaccompanied_Alien_Childre!C708</f>
        <v>34</v>
      </c>
      <c r="D708">
        <f>[2]HHS_Unaccompanied_Alien_Childre!D708</f>
        <v>6</v>
      </c>
      <c r="E708">
        <f>[2]HHS_Unaccompanied_Alien_Childre!E708</f>
        <v>2407</v>
      </c>
      <c r="F708">
        <f>[3]HHS_Unaccompanied_Alien_Childre!F708</f>
        <v>8</v>
      </c>
      <c r="G708">
        <f t="shared" ref="G708:G721" si="78">E708-E707</f>
        <v>-3</v>
      </c>
      <c r="H708" t="str">
        <f t="shared" ref="H708:H721" si="79">IF(G708&gt;0,"Increase",IF(G708&lt;0,"Decrease","No Change"))</f>
        <v>Decrease</v>
      </c>
      <c r="I708">
        <f t="shared" si="77"/>
        <v>1</v>
      </c>
      <c r="J708">
        <f t="shared" si="73"/>
        <v>2407</v>
      </c>
      <c r="K708">
        <f t="shared" si="74"/>
        <v>2340</v>
      </c>
      <c r="L708">
        <f t="shared" si="75"/>
        <v>2294</v>
      </c>
      <c r="M708">
        <f t="shared" si="76"/>
        <v>2375</v>
      </c>
    </row>
    <row r="709" spans="1:13" x14ac:dyDescent="0.3">
      <c r="A709" s="2">
        <f>[1]HHS_Unaccompanied_Alien_Childre!G709</f>
        <v>45994</v>
      </c>
      <c r="B709">
        <f>[2]HHS_Unaccompanied_Alien_Childre!B709</f>
        <v>4</v>
      </c>
      <c r="C709">
        <f>[3]HHS_Unaccompanied_Alien_Childre!C709</f>
        <v>32</v>
      </c>
      <c r="D709">
        <f>[2]HHS_Unaccompanied_Alien_Childre!D709</f>
        <v>8</v>
      </c>
      <c r="E709">
        <f>[2]HHS_Unaccompanied_Alien_Childre!E709</f>
        <v>2419</v>
      </c>
      <c r="F709">
        <f>[3]HHS_Unaccompanied_Alien_Childre!F709</f>
        <v>7</v>
      </c>
      <c r="G709">
        <f t="shared" si="78"/>
        <v>12</v>
      </c>
      <c r="H709" t="str">
        <f t="shared" si="79"/>
        <v>Increase</v>
      </c>
      <c r="I709">
        <f t="shared" si="77"/>
        <v>-4</v>
      </c>
      <c r="J709">
        <f t="shared" si="73"/>
        <v>2419</v>
      </c>
      <c r="K709">
        <f t="shared" si="74"/>
        <v>2375</v>
      </c>
      <c r="L709">
        <f t="shared" si="75"/>
        <v>2302</v>
      </c>
      <c r="M709">
        <f t="shared" si="76"/>
        <v>2391</v>
      </c>
    </row>
    <row r="710" spans="1:13" x14ac:dyDescent="0.3">
      <c r="A710" s="2">
        <f>[1]HHS_Unaccompanied_Alien_Childre!G710</f>
        <v>45995</v>
      </c>
      <c r="B710">
        <f>[2]HHS_Unaccompanied_Alien_Childre!B710</f>
        <v>16</v>
      </c>
      <c r="C710">
        <f>[3]HHS_Unaccompanied_Alien_Childre!C710</f>
        <v>39</v>
      </c>
      <c r="D710">
        <f>[2]HHS_Unaccompanied_Alien_Childre!D710</f>
        <v>7</v>
      </c>
      <c r="E710">
        <f>[2]HHS_Unaccompanied_Alien_Childre!E710</f>
        <v>2418</v>
      </c>
      <c r="F710">
        <f>[3]HHS_Unaccompanied_Alien_Childre!F710</f>
        <v>13</v>
      </c>
      <c r="G710">
        <f t="shared" si="78"/>
        <v>-1</v>
      </c>
      <c r="H710" t="str">
        <f t="shared" si="79"/>
        <v>Decrease</v>
      </c>
      <c r="I710">
        <f t="shared" si="77"/>
        <v>9</v>
      </c>
      <c r="J710">
        <f t="shared" si="73"/>
        <v>2418</v>
      </c>
      <c r="K710">
        <f t="shared" si="74"/>
        <v>2371</v>
      </c>
      <c r="L710">
        <f t="shared" si="75"/>
        <v>2317</v>
      </c>
      <c r="M710">
        <f t="shared" si="76"/>
        <v>2395</v>
      </c>
    </row>
    <row r="711" spans="1:13" x14ac:dyDescent="0.3">
      <c r="A711" s="2">
        <f>[1]HHS_Unaccompanied_Alien_Childre!G711</f>
        <v>45998</v>
      </c>
      <c r="B711">
        <f>[2]HHS_Unaccompanied_Alien_Childre!B711</f>
        <v>4</v>
      </c>
      <c r="C711">
        <f>[3]HHS_Unaccompanied_Alien_Childre!C711</f>
        <v>24</v>
      </c>
      <c r="D711">
        <f>[2]HHS_Unaccompanied_Alien_Childre!D711</f>
        <v>13</v>
      </c>
      <c r="E711">
        <f>[2]HHS_Unaccompanied_Alien_Childre!E711</f>
        <v>2429</v>
      </c>
      <c r="F711">
        <f>[3]HHS_Unaccompanied_Alien_Childre!F711</f>
        <v>12</v>
      </c>
      <c r="G711">
        <f t="shared" si="78"/>
        <v>11</v>
      </c>
      <c r="H711" t="str">
        <f t="shared" si="79"/>
        <v>Increase</v>
      </c>
      <c r="I711">
        <f t="shared" si="77"/>
        <v>-9</v>
      </c>
      <c r="J711">
        <f t="shared" si="73"/>
        <v>2429</v>
      </c>
      <c r="K711">
        <f t="shared" si="74"/>
        <v>2375</v>
      </c>
      <c r="L711">
        <f t="shared" si="75"/>
        <v>2340</v>
      </c>
      <c r="M711">
        <f t="shared" si="76"/>
        <v>2396.5</v>
      </c>
    </row>
    <row r="712" spans="1:13" x14ac:dyDescent="0.3">
      <c r="A712" s="2">
        <f>[1]HHS_Unaccompanied_Alien_Childre!G712</f>
        <v>45999</v>
      </c>
      <c r="B712">
        <f>[2]HHS_Unaccompanied_Alien_Childre!B712</f>
        <v>9</v>
      </c>
      <c r="C712">
        <f>[3]HHS_Unaccompanied_Alien_Childre!C712</f>
        <v>27</v>
      </c>
      <c r="D712">
        <f>[2]HHS_Unaccompanied_Alien_Childre!D712</f>
        <v>9</v>
      </c>
      <c r="E712">
        <f>[2]HHS_Unaccompanied_Alien_Childre!E712</f>
        <v>2440</v>
      </c>
      <c r="F712">
        <f>[3]HHS_Unaccompanied_Alien_Childre!F712</f>
        <v>4</v>
      </c>
      <c r="G712">
        <f t="shared" si="78"/>
        <v>11</v>
      </c>
      <c r="H712" t="str">
        <f t="shared" si="79"/>
        <v>Increase</v>
      </c>
      <c r="I712">
        <f t="shared" si="77"/>
        <v>0</v>
      </c>
      <c r="J712">
        <f t="shared" si="73"/>
        <v>2440</v>
      </c>
      <c r="K712">
        <f t="shared" si="74"/>
        <v>2389</v>
      </c>
      <c r="L712">
        <f t="shared" si="75"/>
        <v>2343</v>
      </c>
      <c r="M712">
        <f t="shared" si="76"/>
        <v>2409</v>
      </c>
    </row>
    <row r="713" spans="1:13" x14ac:dyDescent="0.3">
      <c r="A713" s="2">
        <f>[1]HHS_Unaccompanied_Alien_Childre!G713</f>
        <v>46000</v>
      </c>
      <c r="B713">
        <f>[2]HHS_Unaccompanied_Alien_Childre!B713</f>
        <v>4</v>
      </c>
      <c r="C713">
        <f>[3]HHS_Unaccompanied_Alien_Childre!C713</f>
        <v>30</v>
      </c>
      <c r="D713">
        <f>[2]HHS_Unaccompanied_Alien_Childre!D713</f>
        <v>7</v>
      </c>
      <c r="E713">
        <f>[2]HHS_Unaccompanied_Alien_Childre!E713</f>
        <v>2443</v>
      </c>
      <c r="F713">
        <f>[3]HHS_Unaccompanied_Alien_Childre!F713</f>
        <v>8</v>
      </c>
      <c r="G713">
        <f t="shared" si="78"/>
        <v>3</v>
      </c>
      <c r="H713" t="str">
        <f t="shared" si="79"/>
        <v>Increase</v>
      </c>
      <c r="I713">
        <f t="shared" si="77"/>
        <v>-3</v>
      </c>
      <c r="J713">
        <f t="shared" si="73"/>
        <v>2443</v>
      </c>
      <c r="K713">
        <f t="shared" si="74"/>
        <v>2415</v>
      </c>
      <c r="L713">
        <f t="shared" si="75"/>
        <v>2345</v>
      </c>
      <c r="M713">
        <f t="shared" si="76"/>
        <v>2427.5</v>
      </c>
    </row>
    <row r="714" spans="1:13" x14ac:dyDescent="0.3">
      <c r="A714" s="2">
        <f>[1]HHS_Unaccompanied_Alien_Childre!G714</f>
        <v>46001</v>
      </c>
      <c r="B714">
        <f>[2]HHS_Unaccompanied_Alien_Childre!B714</f>
        <v>10</v>
      </c>
      <c r="C714">
        <f>[3]HHS_Unaccompanied_Alien_Childre!C714</f>
        <v>54</v>
      </c>
      <c r="D714">
        <f>[2]HHS_Unaccompanied_Alien_Childre!D714</f>
        <v>5</v>
      </c>
      <c r="E714">
        <f>[2]HHS_Unaccompanied_Alien_Childre!E714</f>
        <v>2439</v>
      </c>
      <c r="F714">
        <f>[3]HHS_Unaccompanied_Alien_Childre!F714</f>
        <v>9</v>
      </c>
      <c r="G714">
        <f t="shared" si="78"/>
        <v>-4</v>
      </c>
      <c r="H714" t="str">
        <f t="shared" si="79"/>
        <v>Decrease</v>
      </c>
      <c r="I714">
        <f t="shared" si="77"/>
        <v>5</v>
      </c>
      <c r="J714">
        <f t="shared" si="73"/>
        <v>2439</v>
      </c>
      <c r="K714">
        <f t="shared" si="74"/>
        <v>2410</v>
      </c>
      <c r="L714">
        <f t="shared" si="75"/>
        <v>2340</v>
      </c>
      <c r="M714">
        <f t="shared" si="76"/>
        <v>2426.5</v>
      </c>
    </row>
    <row r="715" spans="1:13" x14ac:dyDescent="0.3">
      <c r="A715" s="2">
        <f>[1]HHS_Unaccompanied_Alien_Childre!G715</f>
        <v>46002</v>
      </c>
      <c r="B715">
        <f>[2]HHS_Unaccompanied_Alien_Childre!B715</f>
        <v>7</v>
      </c>
      <c r="C715">
        <f>[3]HHS_Unaccompanied_Alien_Childre!C715</f>
        <v>47</v>
      </c>
      <c r="D715">
        <f>[2]HHS_Unaccompanied_Alien_Childre!D715</f>
        <v>9</v>
      </c>
      <c r="E715">
        <f>[2]HHS_Unaccompanied_Alien_Childre!E715</f>
        <v>2437</v>
      </c>
      <c r="F715">
        <f>[3]HHS_Unaccompanied_Alien_Childre!F715</f>
        <v>10</v>
      </c>
      <c r="G715">
        <f t="shared" si="78"/>
        <v>-2</v>
      </c>
      <c r="H715" t="str">
        <f t="shared" si="79"/>
        <v>Decrease</v>
      </c>
      <c r="I715">
        <f t="shared" si="77"/>
        <v>-2</v>
      </c>
      <c r="J715">
        <f t="shared" si="73"/>
        <v>2437</v>
      </c>
      <c r="K715">
        <f t="shared" si="74"/>
        <v>2407</v>
      </c>
      <c r="L715">
        <f t="shared" si="75"/>
        <v>2340</v>
      </c>
      <c r="M715">
        <f t="shared" si="76"/>
        <v>2423</v>
      </c>
    </row>
    <row r="716" spans="1:13" x14ac:dyDescent="0.3">
      <c r="A716" s="2">
        <f>[1]HHS_Unaccompanied_Alien_Childre!G716</f>
        <v>46005</v>
      </c>
      <c r="B716">
        <f>[2]HHS_Unaccompanied_Alien_Childre!B716</f>
        <v>8</v>
      </c>
      <c r="C716">
        <f>[3]HHS_Unaccompanied_Alien_Childre!C716</f>
        <v>35</v>
      </c>
      <c r="D716">
        <f>[2]HHS_Unaccompanied_Alien_Childre!D716</f>
        <v>4</v>
      </c>
      <c r="E716">
        <f>[2]HHS_Unaccompanied_Alien_Childre!E716</f>
        <v>2462</v>
      </c>
      <c r="F716">
        <f>[3]HHS_Unaccompanied_Alien_Childre!F716</f>
        <v>8</v>
      </c>
      <c r="G716">
        <f t="shared" si="78"/>
        <v>25</v>
      </c>
      <c r="H716" t="str">
        <f t="shared" si="79"/>
        <v>Increase</v>
      </c>
      <c r="I716">
        <f t="shared" si="77"/>
        <v>4</v>
      </c>
      <c r="J716">
        <f t="shared" si="73"/>
        <v>2462</v>
      </c>
      <c r="K716">
        <f t="shared" si="74"/>
        <v>2419</v>
      </c>
      <c r="L716">
        <f t="shared" si="75"/>
        <v>2375</v>
      </c>
      <c r="M716">
        <f t="shared" si="76"/>
        <v>2428</v>
      </c>
    </row>
    <row r="717" spans="1:13" x14ac:dyDescent="0.3">
      <c r="A717" s="2">
        <f>[1]HHS_Unaccompanied_Alien_Childre!G717</f>
        <v>46006</v>
      </c>
      <c r="B717">
        <f>[2]HHS_Unaccompanied_Alien_Childre!B717</f>
        <v>11</v>
      </c>
      <c r="C717">
        <f>[3]HHS_Unaccompanied_Alien_Childre!C717</f>
        <v>42</v>
      </c>
      <c r="D717">
        <f>[2]HHS_Unaccompanied_Alien_Childre!D717</f>
        <v>9</v>
      </c>
      <c r="E717">
        <f>[2]HHS_Unaccompanied_Alien_Childre!E717</f>
        <v>2470</v>
      </c>
      <c r="F717">
        <f>[3]HHS_Unaccompanied_Alien_Childre!F717</f>
        <v>7</v>
      </c>
      <c r="G717">
        <f t="shared" si="78"/>
        <v>8</v>
      </c>
      <c r="H717" t="str">
        <f t="shared" si="79"/>
        <v>Increase</v>
      </c>
      <c r="I717">
        <f t="shared" si="77"/>
        <v>2</v>
      </c>
      <c r="J717">
        <f t="shared" si="73"/>
        <v>2470</v>
      </c>
      <c r="K717">
        <f t="shared" si="74"/>
        <v>2418</v>
      </c>
      <c r="L717">
        <f t="shared" si="75"/>
        <v>2371</v>
      </c>
      <c r="M717">
        <f t="shared" si="76"/>
        <v>2440</v>
      </c>
    </row>
    <row r="718" spans="1:13" x14ac:dyDescent="0.3">
      <c r="A718" s="2">
        <f>[1]HHS_Unaccompanied_Alien_Childre!G718</f>
        <v>46007</v>
      </c>
      <c r="B718">
        <f>[2]HHS_Unaccompanied_Alien_Childre!B718</f>
        <v>8</v>
      </c>
      <c r="C718">
        <f>[3]HHS_Unaccompanied_Alien_Childre!C718</f>
        <v>54</v>
      </c>
      <c r="D718">
        <f>[2]HHS_Unaccompanied_Alien_Childre!D718</f>
        <v>15</v>
      </c>
      <c r="E718">
        <f>[2]HHS_Unaccompanied_Alien_Childre!E718</f>
        <v>2468</v>
      </c>
      <c r="F718">
        <f>[3]HHS_Unaccompanied_Alien_Childre!F718</f>
        <v>9</v>
      </c>
      <c r="G718">
        <f t="shared" si="78"/>
        <v>-2</v>
      </c>
      <c r="H718" t="str">
        <f t="shared" si="79"/>
        <v>Decrease</v>
      </c>
      <c r="I718">
        <f t="shared" si="77"/>
        <v>-7</v>
      </c>
      <c r="J718">
        <f t="shared" si="73"/>
        <v>2468</v>
      </c>
      <c r="K718">
        <f t="shared" si="74"/>
        <v>2429</v>
      </c>
      <c r="L718">
        <f t="shared" si="75"/>
        <v>2375</v>
      </c>
      <c r="M718">
        <f t="shared" si="76"/>
        <v>2449.5</v>
      </c>
    </row>
    <row r="719" spans="1:13" x14ac:dyDescent="0.3">
      <c r="A719" s="2">
        <f>[1]HHS_Unaccompanied_Alien_Childre!G719</f>
        <v>46008</v>
      </c>
      <c r="B719">
        <f>[2]HHS_Unaccompanied_Alien_Childre!B719</f>
        <v>7</v>
      </c>
      <c r="C719">
        <f>[3]HHS_Unaccompanied_Alien_Childre!C719</f>
        <v>31</v>
      </c>
      <c r="D719">
        <f>[2]HHS_Unaccompanied_Alien_Childre!D719</f>
        <v>11</v>
      </c>
      <c r="E719">
        <f>[2]HHS_Unaccompanied_Alien_Childre!E719</f>
        <v>2481</v>
      </c>
      <c r="F719">
        <f>[3]HHS_Unaccompanied_Alien_Childre!F719</f>
        <v>10</v>
      </c>
      <c r="G719">
        <f t="shared" si="78"/>
        <v>13</v>
      </c>
      <c r="H719" t="str">
        <f t="shared" si="79"/>
        <v>Increase</v>
      </c>
      <c r="I719">
        <f t="shared" si="77"/>
        <v>-4</v>
      </c>
      <c r="J719">
        <f t="shared" si="73"/>
        <v>2481</v>
      </c>
      <c r="K719">
        <f t="shared" si="74"/>
        <v>2440</v>
      </c>
      <c r="L719">
        <f t="shared" si="75"/>
        <v>2389</v>
      </c>
      <c r="M719">
        <f t="shared" si="76"/>
        <v>2454</v>
      </c>
    </row>
    <row r="720" spans="1:13" x14ac:dyDescent="0.3">
      <c r="A720" s="2">
        <f>[1]HHS_Unaccompanied_Alien_Childre!G720</f>
        <v>46009</v>
      </c>
      <c r="B720">
        <f>[2]HHS_Unaccompanied_Alien_Childre!B720</f>
        <v>11</v>
      </c>
      <c r="C720">
        <f>[3]HHS_Unaccompanied_Alien_Childre!C720</f>
        <v>50</v>
      </c>
      <c r="D720">
        <f>[2]HHS_Unaccompanied_Alien_Childre!D720</f>
        <v>6</v>
      </c>
      <c r="E720">
        <f>[2]HHS_Unaccompanied_Alien_Childre!E720</f>
        <v>2472</v>
      </c>
      <c r="F720">
        <f>[3]HHS_Unaccompanied_Alien_Childre!F720</f>
        <v>16</v>
      </c>
      <c r="G720">
        <f t="shared" si="78"/>
        <v>-9</v>
      </c>
      <c r="H720" t="str">
        <f t="shared" si="79"/>
        <v>Decrease</v>
      </c>
      <c r="I720">
        <f t="shared" si="77"/>
        <v>5</v>
      </c>
      <c r="J720">
        <f t="shared" si="73"/>
        <v>2472</v>
      </c>
      <c r="K720">
        <f t="shared" si="74"/>
        <v>2443</v>
      </c>
      <c r="L720">
        <f t="shared" si="75"/>
        <v>2415</v>
      </c>
      <c r="M720">
        <f t="shared" si="76"/>
        <v>2462</v>
      </c>
    </row>
    <row r="721" spans="1:13" x14ac:dyDescent="0.3">
      <c r="A721" s="2">
        <f>[1]HHS_Unaccompanied_Alien_Childre!G721</f>
        <v>46012</v>
      </c>
      <c r="B721">
        <f>[2]HHS_Unaccompanied_Alien_Childre!B721</f>
        <v>6</v>
      </c>
      <c r="C721">
        <f>[3]HHS_Unaccompanied_Alien_Childre!C721</f>
        <v>18</v>
      </c>
      <c r="D721">
        <f>[2]HHS_Unaccompanied_Alien_Childre!D721</f>
        <v>11</v>
      </c>
      <c r="E721">
        <f>[2]HHS_Unaccompanied_Alien_Childre!E721</f>
        <v>2484</v>
      </c>
      <c r="F721">
        <f>[3]HHS_Unaccompanied_Alien_Childre!F721</f>
        <v>14</v>
      </c>
      <c r="G721">
        <f t="shared" si="78"/>
        <v>12</v>
      </c>
      <c r="H721" t="str">
        <f t="shared" si="79"/>
        <v>Increase</v>
      </c>
      <c r="I721">
        <f t="shared" si="77"/>
        <v>-5</v>
      </c>
      <c r="J721">
        <f t="shared" ref="J721" si="80">E721</f>
        <v>2484</v>
      </c>
      <c r="K721">
        <f t="shared" ref="K721" si="81">E714</f>
        <v>2439</v>
      </c>
      <c r="L721">
        <f t="shared" ref="L721" si="82">E707</f>
        <v>2410</v>
      </c>
      <c r="M721">
        <f t="shared" ref="M721" si="83">AVERAGE(E714,E720)</f>
        <v>2455.5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HHS_Unaccompanied_Alien_Childre</vt:lpstr>
      <vt:lpstr>Clean_Data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</dc:creator>
  <cp:lastModifiedBy>Ankita Guha Roy</cp:lastModifiedBy>
  <dcterms:created xsi:type="dcterms:W3CDTF">2026-10-12T13:55:11Z</dcterms:created>
  <dcterms:modified xsi:type="dcterms:W3CDTF">2026-10-23T15:22:19Z</dcterms:modified>
</cp:coreProperties>
</file>